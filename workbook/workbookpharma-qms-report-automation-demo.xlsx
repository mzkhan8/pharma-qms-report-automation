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netorg535710a-my.sharepoint.com/personal/mohammad_khan_ambiopharm_com/Documents/Desktop/personal/Github/"/>
    </mc:Choice>
  </mc:AlternateContent>
  <xr:revisionPtr revIDLastSave="745" documentId="11_F25DC773A252ABDACC1048E319184E885BDE58EE" xr6:coauthVersionLast="47" xr6:coauthVersionMax="47" xr10:uidLastSave="{6090D7FA-64E3-4F9D-A4B2-02640ABDD746}"/>
  <bookViews>
    <workbookView xWindow="-120" yWindow="-120" windowWidth="29040" windowHeight="15720" activeTab="5" xr2:uid="{00000000-000D-0000-FFFF-FFFF00000000}"/>
  </bookViews>
  <sheets>
    <sheet name="CAPA" sheetId="13" r:id="rId1"/>
    <sheet name="Deviation" sheetId="14" r:id="rId2"/>
    <sheet name="OOS" sheetId="15" r:id="rId3"/>
    <sheet name="Event" sheetId="16" r:id="rId4"/>
    <sheet name="Summary" sheetId="17" state="hidden" r:id="rId5"/>
    <sheet name="Quality Trends Dashboard" sheetId="18" r:id="rId6"/>
    <sheet name="CAPA Override Table" sheetId="3" state="hidden" r:id="rId7"/>
    <sheet name="Deviation Override Table" sheetId="10" state="hidden" r:id="rId8"/>
  </sheets>
  <definedNames>
    <definedName name="ExternalData_1" localSheetId="0" hidden="1">CAPA!$A$1:$Z$96</definedName>
    <definedName name="ExternalData_1" localSheetId="1" hidden="1">Deviation!$A$1:$R$40</definedName>
    <definedName name="ExternalData_1" localSheetId="3" hidden="1">Event!$A$1:$M$14</definedName>
    <definedName name="ExternalData_1" localSheetId="2" hidden="1">OOS!$A$1:$Q$15</definedName>
    <definedName name="ExternalData_1" localSheetId="4" hidden="1">Summary!$A$2:$C$5</definedName>
    <definedName name="ExternalData_2" localSheetId="4" hidden="1">Summary!$E$2:$G$6</definedName>
    <definedName name="ExternalData_4" localSheetId="4" hidden="1">Summary!$M$2:$O$6</definedName>
    <definedName name="ExternalData_5" localSheetId="4" hidden="1">Summary!$I$2:$K$4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4" i="17" l="1"/>
  <c r="A113" i="17"/>
  <c r="A112" i="17"/>
  <c r="A111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A3A969-0EF0-4E7E-82A2-D1F5773156D1}" keepAlive="1" name="Query - CAPA Past Due Summary" description="Connection to the 'CAPA Past Due Summary' query in the workbook." type="5" refreshedVersion="0" background="1">
    <dbPr connection="Provider=Microsoft.Mashup.OleDb.1;Data Source=$Workbook$;Location=&quot;CAPA Past Due Summary&quot;;Extended Properties=&quot;&quot;" command="SELECT * FROM [CAPA Past Due Summary]"/>
  </connection>
  <connection id="2" xr16:uid="{8B3933E4-0439-4BB2-A66A-A9F7C98810FC}" keepAlive="1" name="Query - CAPA Query" description="Connection to the 'CAPA Query' query in the workbook." type="5" refreshedVersion="8" background="1" saveData="1">
    <dbPr connection="Provider=Microsoft.Mashup.OleDb.1;Data Source=$Workbook$;Location=&quot;CAPA Query&quot;;Extended Properties=&quot;&quot;" command="SELECT * FROM [CAPA Query]"/>
  </connection>
  <connection id="3" xr16:uid="{DEB326E3-4D2C-41E4-91C4-E5DC5268CA03}" keepAlive="1" name="Query - CAPA Trend" description="Connection to the 'CAPA Trend' query in the workbook." type="5" refreshedVersion="0" background="1">
    <dbPr connection="Provider=Microsoft.Mashup.OleDb.1;Data Source=$Workbook$;Location=&quot;CAPA Trend&quot;;Extended Properties=&quot;&quot;" command="SELECT * FROM [CAPA Trend]"/>
  </connection>
  <connection id="4" xr16:uid="{0F2B3687-2F1C-4E17-9D66-A9CDF1780690}" keepAlive="1" name="Query - CAPA Trend Summary" description="Connection to the 'CAPA Trend Summary' query in the workbook." type="5" refreshedVersion="8" background="1" saveData="1">
    <dbPr connection="Provider=Microsoft.Mashup.OleDb.1;Data Source=$Workbook$;Location=&quot;CAPA Trend Summary&quot;;Extended Properties=&quot;&quot;" command="SELECT * FROM [CAPA Trend Summary]"/>
  </connection>
  <connection id="5" xr16:uid="{58C265AC-424A-429C-9FC1-3759EED7998C}" keepAlive="1" name="Query - CAPA Trend Summary (2)" description="Connection to the 'CAPA Trend Summary (2)' query in the workbook." type="5" refreshedVersion="8" background="1" saveData="1">
    <dbPr connection="Provider=Microsoft.Mashup.OleDb.1;Data Source=$Workbook$;Location=&quot;CAPA Trend Summary (2)&quot;;Extended Properties=&quot;&quot;" command="SELECT * FROM [CAPA Trend Summary (2)]"/>
  </connection>
  <connection id="6" xr16:uid="{FDBD4EE4-3DE8-40FC-B99E-9B7055B424F4}" keepAlive="1" name="Query - CAPA_Override_tbl" description="Connection to the 'CAPA_Override_tbl' query in the workbook." type="5" refreshedVersion="0" background="1">
    <dbPr connection="Provider=Microsoft.Mashup.OleDb.1;Data Source=$Workbook$;Location=CAPA_Override_tbl;Extended Properties=&quot;&quot;" command="SELECT * FROM [CAPA_Override_tbl]"/>
  </connection>
  <connection id="7" xr16:uid="{7CC6F98D-67EE-47C4-BFF5-03DD9FD4973A}" keepAlive="1" name="Query - Deviation Past Due Summary" description="Connection to the 'Deviation Past Due Summary' query in the workbook." type="5" refreshedVersion="0" background="1">
    <dbPr connection="Provider=Microsoft.Mashup.OleDb.1;Data Source=$Workbook$;Location=&quot;Deviation Past Due Summary&quot;;Extended Properties=&quot;&quot;" command="SELECT * FROM [Deviation Past Due Summary]"/>
  </connection>
  <connection id="8" xr16:uid="{86D1827B-8F43-4541-BBA8-EB5098E55C7B}" keepAlive="1" name="Query - Deviation Query" description="Connection to the 'Deviation Query' query in the workbook." type="5" refreshedVersion="8" background="1" saveData="1">
    <dbPr connection="Provider=Microsoft.Mashup.OleDb.1;Data Source=$Workbook$;Location=&quot;Deviation Query&quot;;Extended Properties=&quot;&quot;" command="SELECT * FROM [Deviation Query]"/>
  </connection>
  <connection id="9" xr16:uid="{7368B7FF-759C-48C4-9B9F-8CA240C13635}" keepAlive="1" name="Query - Deviation Trend" description="Connection to the 'Deviation Trend' query in the workbook." type="5" refreshedVersion="0" background="1">
    <dbPr connection="Provider=Microsoft.Mashup.OleDb.1;Data Source=$Workbook$;Location=&quot;Deviation Trend&quot;;Extended Properties=&quot;&quot;" command="SELECT * FROM [Deviation Trend]"/>
  </connection>
  <connection id="10" xr16:uid="{AA0042EE-B06E-42A1-B021-0C45E31FFA95}" keepAlive="1" name="Query - Deviation Trend Summary" description="Connection to the 'Deviation Trend Summary' query in the workbook." type="5" refreshedVersion="8" background="1" saveData="1">
    <dbPr connection="Provider=Microsoft.Mashup.OleDb.1;Data Source=$Workbook$;Location=&quot;Deviation Trend Summary&quot;;Extended Properties=&quot;&quot;" command="SELECT * FROM [Deviation Trend Summary]"/>
  </connection>
  <connection id="11" xr16:uid="{F70F6F9D-6565-45F2-84B4-38C267593F0D}" keepAlive="1" name="Query - Deviation Trend Summary (2)" description="Connection to the 'Deviation Trend Summary (2)' query in the workbook." type="5" refreshedVersion="8" background="1" saveData="1">
    <dbPr connection="Provider=Microsoft.Mashup.OleDb.1;Data Source=$Workbook$;Location=&quot;Deviation Trend Summary (2)&quot;;Extended Properties=&quot;&quot;" command="SELECT * FROM [Deviation Trend Summary (2)]"/>
  </connection>
  <connection id="12" xr16:uid="{2B791E4B-9730-4778-90F0-C77B756EDE05}" keepAlive="1" name="Query - Deviation_Override_tbl" description="Connection to the 'Deviation_Override_tbl' query in the workbook." type="5" refreshedVersion="0" background="1">
    <dbPr connection="Provider=Microsoft.Mashup.OleDb.1;Data Source=$Workbook$;Location=Deviation_Override_tbl;Extended Properties=&quot;&quot;" command="SELECT * FROM [Deviation_Override_tbl]"/>
  </connection>
  <connection id="13" xr16:uid="{2A0FC809-58B1-4D18-93A2-AFFFB18399DE}" keepAlive="1" name="Query - Event Past Due Summary" description="Connection to the 'Event Past Due Summary' query in the workbook." type="5" refreshedVersion="0" background="1">
    <dbPr connection="Provider=Microsoft.Mashup.OleDb.1;Data Source=$Workbook$;Location=&quot;Event Past Due Summary&quot;;Extended Properties=&quot;&quot;" command="SELECT * FROM [Event Past Due Summary]"/>
  </connection>
  <connection id="14" xr16:uid="{EA591E16-9B00-410B-A8A6-7D33D7B1922B}" keepAlive="1" name="Query - Event Query" description="Connection to the 'Event Query' query in the workbook." type="5" refreshedVersion="8" background="1" saveData="1">
    <dbPr connection="Provider=Microsoft.Mashup.OleDb.1;Data Source=$Workbook$;Location=&quot;Event Query&quot;;Extended Properties=&quot;&quot;" command="SELECT * FROM [Event Query]"/>
  </connection>
  <connection id="15" xr16:uid="{488686B4-A1DC-4E7A-A70E-139A77829486}" keepAlive="1" name="Query - Event Trend" description="Connection to the 'Event Trend' query in the workbook." type="5" refreshedVersion="0" background="1">
    <dbPr connection="Provider=Microsoft.Mashup.OleDb.1;Data Source=$Workbook$;Location=&quot;Event Trend&quot;;Extended Properties=&quot;&quot;" command="SELECT * FROM [Event Trend]"/>
  </connection>
  <connection id="16" xr16:uid="{23310DE1-7B07-44CC-8600-0F79789679C0}" keepAlive="1" name="Query - Event Trend Summary" description="Connection to the 'Event Trend Summary' query in the workbook." type="5" refreshedVersion="8" background="1" saveData="1">
    <dbPr connection="Provider=Microsoft.Mashup.OleDb.1;Data Source=$Workbook$;Location=&quot;Event Trend Summary&quot;;Extended Properties=&quot;&quot;" command="SELECT * FROM [Event Trend Summary]"/>
  </connection>
  <connection id="17" xr16:uid="{7BDE3B30-4565-46B6-9D9C-902675DD844D}" keepAlive="1" name="Query - OOS Query" description="Connection to the 'OOS Query' query in the workbook." type="5" refreshedVersion="8" background="1" saveData="1">
    <dbPr connection="Provider=Microsoft.Mashup.OleDb.1;Data Source=$Workbook$;Location=&quot;OOS Query&quot;;Extended Properties=&quot;&quot;" command="SELECT * FROM [OOS Query]"/>
  </connection>
  <connection id="18" xr16:uid="{B802F11A-3E9F-483A-82F9-87B498451EB3}" keepAlive="1" name="Query - OOS Trend" description="Connection to the 'OOS Trend' query in the workbook." type="5" refreshedVersion="0" background="1">
    <dbPr connection="Provider=Microsoft.Mashup.OleDb.1;Data Source=$Workbook$;Location=&quot;OOS Trend&quot;;Extended Properties=&quot;&quot;" command="SELECT * FROM [OOS Trend]"/>
  </connection>
  <connection id="19" xr16:uid="{8AC49F7A-7840-4A17-93D5-19426B8DFDF9}" keepAlive="1" name="Query - OOS Trend Past Due Summary" description="Connection to the 'OOS Trend Past Due Summary' query in the workbook." type="5" refreshedVersion="0" background="1">
    <dbPr connection="Provider=Microsoft.Mashup.OleDb.1;Data Source=$Workbook$;Location=&quot;OOS Trend Past Due Summary&quot;;Extended Properties=&quot;&quot;" command="SELECT * FROM [OOS Trend Past Due Summary]"/>
  </connection>
  <connection id="20" xr16:uid="{EE7E86D6-25D7-4B18-89C9-CF0073B10008}" keepAlive="1" name="Query - OOS Trend Summary" description="Connection to the 'OOS Trend Summary' query in the workbook." type="5" refreshedVersion="8" background="1" saveData="1">
    <dbPr connection="Provider=Microsoft.Mashup.OleDb.1;Data Source=$Workbook$;Location=&quot;OOS Trend Summary&quot;;Extended Properties=&quot;&quot;" command="SELECT * FROM [OOS Trend Summary]"/>
  </connection>
  <connection id="21" xr16:uid="{CA27B40E-9596-4037-BF80-9036BACDB78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2" xr16:uid="{A0FEC6EA-AFF1-4052-B5F8-0508287784AF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23" xr16:uid="{10CB14AB-567C-47B3-9C53-C1075BC8D1F7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24" xr16:uid="{E4DAC917-289C-4863-8C1D-2918834B394A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25" xr16:uid="{EB08F7FE-4CA0-4C15-BCF3-A2E5863A893E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26" xr16:uid="{42B6B9C4-FE71-4E82-A442-5340724F4FC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27" xr16:uid="{2AC850C3-90D1-40D1-AA14-BD167F0E2955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28" xr16:uid="{D1B9CA9C-74F9-4F5B-AD11-E75BD13E9052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29" xr16:uid="{12BDBAF2-5710-4C18-866E-106FCCACCCB5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30" xr16:uid="{C8E5E877-43B2-411C-AF05-961EDB84DC9A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31" xr16:uid="{C1A6ED01-5899-4E4B-BBB6-4A2E70A1BF7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32" xr16:uid="{7D405010-AAF9-447F-8B95-AAFFECBDEA28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33" xr16:uid="{A57A934C-8EBB-498A-8E83-B13FD321A68A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34" xr16:uid="{CEC6173F-62ED-4203-BDBB-AB38C25031AD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35" xr16:uid="{8152D1D5-4C94-491A-83FC-2A753CFE0F29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36" xr16:uid="{312564C1-BC1F-4150-B4BB-7F50D124D22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37" xr16:uid="{3607F162-30A6-40A4-B3D2-1E28C2527FFA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38" xr16:uid="{782EA876-167A-4EEF-8815-871C0D098499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39" xr16:uid="{EB5A8AA2-BBCC-4F19-AA33-714575D4AB3F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40" xr16:uid="{56F5EAC0-1386-4748-9125-851CF269D087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</connections>
</file>

<file path=xl/sharedStrings.xml><?xml version="1.0" encoding="utf-8"?>
<sst xmlns="http://schemas.openxmlformats.org/spreadsheetml/2006/main" count="2579" uniqueCount="617">
  <si>
    <t>Event Number</t>
  </si>
  <si>
    <t>Title</t>
  </si>
  <si>
    <t>Creator</t>
  </si>
  <si>
    <t>Create Date</t>
  </si>
  <si>
    <t>Step Name</t>
  </si>
  <si>
    <t>Department</t>
  </si>
  <si>
    <t>EVENT260826</t>
  </si>
  <si>
    <t>EVENT260826: Batch Reconciliation Review</t>
  </si>
  <si>
    <t>user17</t>
  </si>
  <si>
    <t>Management Review</t>
  </si>
  <si>
    <t>Compliance</t>
  </si>
  <si>
    <t>EVENT260826: Training Record Mismatch</t>
  </si>
  <si>
    <t>user37</t>
  </si>
  <si>
    <t>Action Assignment</t>
  </si>
  <si>
    <t>Facilities</t>
  </si>
  <si>
    <t>EVENT260825</t>
  </si>
  <si>
    <t>EVENT260825: Label Control Review</t>
  </si>
  <si>
    <t>user58</t>
  </si>
  <si>
    <t>Event Report and Containment</t>
  </si>
  <si>
    <t>QA</t>
  </si>
  <si>
    <t>EVENT260824</t>
  </si>
  <si>
    <t>EVENT260824: Material Traceability Check</t>
  </si>
  <si>
    <t>user64</t>
  </si>
  <si>
    <t>Event Disposition</t>
  </si>
  <si>
    <t>Micro</t>
  </si>
  <si>
    <t>user90</t>
  </si>
  <si>
    <t>Warehouse</t>
  </si>
  <si>
    <t>EVENT260822</t>
  </si>
  <si>
    <t>EVENT260822: Process Workflow Assessment</t>
  </si>
  <si>
    <t>user56</t>
  </si>
  <si>
    <t>EVENT260820</t>
  </si>
  <si>
    <t>EVENT260820: Label Control Review</t>
  </si>
  <si>
    <t>user06</t>
  </si>
  <si>
    <t>Initial Assessment</t>
  </si>
  <si>
    <t>EVENT260819</t>
  </si>
  <si>
    <t>EVENT260819: Material Traceability Check</t>
  </si>
  <si>
    <t>user66</t>
  </si>
  <si>
    <t>Manufacturing</t>
  </si>
  <si>
    <t>EVENT260818</t>
  </si>
  <si>
    <t>EVENT260818: Process Workflow Assessment</t>
  </si>
  <si>
    <t>user88</t>
  </si>
  <si>
    <t>user97</t>
  </si>
  <si>
    <t>EVENT260814</t>
  </si>
  <si>
    <t>EVENT260814: Inventory Record Discrepancy</t>
  </si>
  <si>
    <t>user89</t>
  </si>
  <si>
    <t>EVENT260814: Material Traceability Check</t>
  </si>
  <si>
    <t>user51</t>
  </si>
  <si>
    <t>EVENT260805</t>
  </si>
  <si>
    <t>EVENT260805: Material Traceability Check</t>
  </si>
  <si>
    <t>Due Today</t>
  </si>
  <si>
    <t>Due This Week</t>
  </si>
  <si>
    <t>CAPA Owner</t>
  </si>
  <si>
    <t>CAPA Number</t>
  </si>
  <si>
    <t>Date Opened</t>
  </si>
  <si>
    <t>Overall Due</t>
  </si>
  <si>
    <t>T2 Event Location or Site</t>
  </si>
  <si>
    <t>Product Line</t>
  </si>
  <si>
    <t>APi #1</t>
  </si>
  <si>
    <t>Lot #1</t>
  </si>
  <si>
    <t>APi #2</t>
  </si>
  <si>
    <t>Lot #2</t>
  </si>
  <si>
    <t>APi #3</t>
  </si>
  <si>
    <t>Lot #3</t>
  </si>
  <si>
    <t>Step Due Date</t>
  </si>
  <si>
    <t>Related to Deviation?</t>
  </si>
  <si>
    <t>Customer Notification (CA)</t>
  </si>
  <si>
    <t>Customer Notification (PA)</t>
  </si>
  <si>
    <t/>
  </si>
  <si>
    <t>DEV260570</t>
  </si>
  <si>
    <t>Equipment Lifecycle Assessment</t>
  </si>
  <si>
    <t>USA</t>
  </si>
  <si>
    <t>Production</t>
  </si>
  <si>
    <t>Execution Tracking</t>
  </si>
  <si>
    <t>user46</t>
  </si>
  <si>
    <t>Process Documentation Review</t>
  </si>
  <si>
    <t>Laboratory Services</t>
  </si>
  <si>
    <t>Verification Review</t>
  </si>
  <si>
    <t>user87</t>
  </si>
  <si>
    <t>DEV260599</t>
  </si>
  <si>
    <t>user24</t>
  </si>
  <si>
    <t>Inventory Control Improvement</t>
  </si>
  <si>
    <t>Quality Board Review</t>
  </si>
  <si>
    <t>DEV260125</t>
  </si>
  <si>
    <t>Training Effectiveness Review</t>
  </si>
  <si>
    <t>Engineering</t>
  </si>
  <si>
    <t>Cause Analysis</t>
  </si>
  <si>
    <t>user59</t>
  </si>
  <si>
    <t>DEV260563</t>
  </si>
  <si>
    <t>Inventory</t>
  </si>
  <si>
    <t>Quality System Enhancement</t>
  </si>
  <si>
    <t>user25</t>
  </si>
  <si>
    <t>Action Plan Review</t>
  </si>
  <si>
    <t>DEV260302</t>
  </si>
  <si>
    <t>Workflow Optimization Initiative</t>
  </si>
  <si>
    <t>China</t>
  </si>
  <si>
    <t>Commercial/Generic</t>
  </si>
  <si>
    <t>user75</t>
  </si>
  <si>
    <t>Quality Systems</t>
  </si>
  <si>
    <t>user93</t>
  </si>
  <si>
    <t>user78</t>
  </si>
  <si>
    <t>质量体系提升行动</t>
  </si>
  <si>
    <t>Infrastructure</t>
  </si>
  <si>
    <t>user73</t>
  </si>
  <si>
    <t>user12</t>
  </si>
  <si>
    <t>user84</t>
  </si>
  <si>
    <t>user82</t>
  </si>
  <si>
    <t>风险控制跟进行动</t>
  </si>
  <si>
    <t>文件记录审核改善</t>
  </si>
  <si>
    <t>user47</t>
  </si>
  <si>
    <t>user23</t>
  </si>
  <si>
    <t>DEV260857</t>
  </si>
  <si>
    <t>A9664</t>
  </si>
  <si>
    <t>260110-2853</t>
  </si>
  <si>
    <t>user07</t>
  </si>
  <si>
    <t>user76</t>
  </si>
  <si>
    <t>user81</t>
  </si>
  <si>
    <t>DEV260233</t>
  </si>
  <si>
    <t>user72</t>
  </si>
  <si>
    <t>DEV260242</t>
  </si>
  <si>
    <t>Accepts the CA</t>
  </si>
  <si>
    <t>user44</t>
  </si>
  <si>
    <t>Accepts the PA</t>
  </si>
  <si>
    <t>user08</t>
  </si>
  <si>
    <t>user92</t>
  </si>
  <si>
    <t>DEV260838</t>
  </si>
  <si>
    <t>DEV260460</t>
  </si>
  <si>
    <t>NCE</t>
  </si>
  <si>
    <t>DEV260323</t>
  </si>
  <si>
    <t>A4547</t>
  </si>
  <si>
    <t>260320-2941</t>
  </si>
  <si>
    <t>user69</t>
  </si>
  <si>
    <t>user63</t>
  </si>
  <si>
    <t>user77</t>
  </si>
  <si>
    <t>DEV260576</t>
  </si>
  <si>
    <t>A3829</t>
  </si>
  <si>
    <t>260114-6716</t>
  </si>
  <si>
    <t>API1222</t>
  </si>
  <si>
    <t>250110</t>
  </si>
  <si>
    <t>A6575</t>
  </si>
  <si>
    <t>260422-9907</t>
  </si>
  <si>
    <t>240619C</t>
  </si>
  <si>
    <t>A1626</t>
  </si>
  <si>
    <t>260304-1935</t>
  </si>
  <si>
    <t>user20</t>
  </si>
  <si>
    <t>user60</t>
  </si>
  <si>
    <t>user98</t>
  </si>
  <si>
    <t>user36</t>
  </si>
  <si>
    <t>user27</t>
  </si>
  <si>
    <t>user65</t>
  </si>
  <si>
    <t>Intermediate</t>
  </si>
  <si>
    <t>DEV260567</t>
  </si>
  <si>
    <t>user54</t>
  </si>
  <si>
    <t>user43</t>
  </si>
  <si>
    <t>设备维护优化计划</t>
  </si>
  <si>
    <t>user39</t>
  </si>
  <si>
    <t>user29</t>
  </si>
  <si>
    <t>DEV260444</t>
  </si>
  <si>
    <t>7E7IGIVVNNB6PPNNTT</t>
  </si>
  <si>
    <t>user02</t>
  </si>
  <si>
    <t>DEV260232</t>
  </si>
  <si>
    <t>Crude</t>
  </si>
  <si>
    <t>Does Not Accept the CA</t>
  </si>
  <si>
    <t>user62</t>
  </si>
  <si>
    <t>user26</t>
  </si>
  <si>
    <t>user96</t>
  </si>
  <si>
    <t>user99</t>
  </si>
  <si>
    <t>user85</t>
  </si>
  <si>
    <t>user10</t>
  </si>
  <si>
    <t>user32</t>
  </si>
  <si>
    <t>user70</t>
  </si>
  <si>
    <t>user34</t>
  </si>
  <si>
    <t>user18</t>
  </si>
  <si>
    <t>user03</t>
  </si>
  <si>
    <t>DEV261158</t>
  </si>
  <si>
    <t>DEV260345</t>
  </si>
  <si>
    <t>user30</t>
  </si>
  <si>
    <t>A9689</t>
  </si>
  <si>
    <t>261027-9919</t>
  </si>
  <si>
    <t>user61</t>
  </si>
  <si>
    <t>user49</t>
  </si>
  <si>
    <t>DEV260199</t>
  </si>
  <si>
    <t>DEV261065</t>
  </si>
  <si>
    <t>DEV260549</t>
  </si>
  <si>
    <t>user95</t>
  </si>
  <si>
    <t>DEV260240</t>
  </si>
  <si>
    <t>DEV261216</t>
  </si>
  <si>
    <t>user91</t>
  </si>
  <si>
    <t>Drug Product</t>
  </si>
  <si>
    <t>A2504</t>
  </si>
  <si>
    <t>260319-8092</t>
  </si>
  <si>
    <t>user79</t>
  </si>
  <si>
    <t>A1241</t>
  </si>
  <si>
    <t>A6041</t>
  </si>
  <si>
    <t>260714-2289</t>
  </si>
  <si>
    <t>user33</t>
  </si>
  <si>
    <t>user45</t>
  </si>
  <si>
    <t>DEV260163</t>
  </si>
  <si>
    <t>user28</t>
  </si>
  <si>
    <t>user83</t>
  </si>
  <si>
    <t>A5641</t>
  </si>
  <si>
    <t>DEV261212</t>
  </si>
  <si>
    <t>user71</t>
  </si>
  <si>
    <t>DEV260863</t>
  </si>
  <si>
    <t>A5445</t>
  </si>
  <si>
    <t>260205-2877</t>
  </si>
  <si>
    <t>APi1222</t>
  </si>
  <si>
    <t>250217C</t>
  </si>
  <si>
    <t>DEV260927</t>
  </si>
  <si>
    <t>user04</t>
  </si>
  <si>
    <t>user50</t>
  </si>
  <si>
    <t>DEV260847</t>
  </si>
  <si>
    <t>user52</t>
  </si>
  <si>
    <t>A3010</t>
  </si>
  <si>
    <t>260912-4655</t>
  </si>
  <si>
    <t>A4555</t>
  </si>
  <si>
    <t>user55</t>
  </si>
  <si>
    <t>DEV260770</t>
  </si>
  <si>
    <t>user67</t>
  </si>
  <si>
    <t>A2997</t>
  </si>
  <si>
    <t>260715-5060</t>
  </si>
  <si>
    <t>A7151</t>
  </si>
  <si>
    <t>260312-5318</t>
  </si>
  <si>
    <t>CAPA26060401</t>
  </si>
  <si>
    <t>CAPA26030901</t>
  </si>
  <si>
    <t>CAPA26042901</t>
  </si>
  <si>
    <t>CAPA26102401</t>
  </si>
  <si>
    <t>CAPA26111401</t>
  </si>
  <si>
    <t>CAPA26063001</t>
  </si>
  <si>
    <t>CAPA26110801</t>
  </si>
  <si>
    <t>CAPA26121201</t>
  </si>
  <si>
    <t>CAPA26031201</t>
  </si>
  <si>
    <t>CAPA26041601</t>
  </si>
  <si>
    <t>CAPA26051601</t>
  </si>
  <si>
    <t>CAPA26082901</t>
  </si>
  <si>
    <t>CAPA26091101</t>
  </si>
  <si>
    <t>CAPA26110701</t>
  </si>
  <si>
    <t>CAPA26121101</t>
  </si>
  <si>
    <t>CAPA26121602</t>
  </si>
  <si>
    <t>CAPA26123101</t>
  </si>
  <si>
    <t>CAPA26020501</t>
  </si>
  <si>
    <t>CAPA26032402</t>
  </si>
  <si>
    <t>CAPA26032502</t>
  </si>
  <si>
    <t>CAPA26042301</t>
  </si>
  <si>
    <t>CAPA26050101</t>
  </si>
  <si>
    <t>CAPA26062302</t>
  </si>
  <si>
    <t>CAPA26062701</t>
  </si>
  <si>
    <t>CAPA26062702</t>
  </si>
  <si>
    <t>CAPA26070802</t>
  </si>
  <si>
    <t>CAPA26073001</t>
  </si>
  <si>
    <t>CAPA26082601</t>
  </si>
  <si>
    <t>CAPA26091001</t>
  </si>
  <si>
    <t>CAPA26091002</t>
  </si>
  <si>
    <t>CAPA26091003</t>
  </si>
  <si>
    <t>CAPA26091801</t>
  </si>
  <si>
    <t>CAPA26091802</t>
  </si>
  <si>
    <t>CAPA26091803</t>
  </si>
  <si>
    <t>CAPA26092501</t>
  </si>
  <si>
    <t>CAPA26101502</t>
  </si>
  <si>
    <t>CAPA26111003</t>
  </si>
  <si>
    <t>CAPA26111701</t>
  </si>
  <si>
    <t>CAPA26112501</t>
  </si>
  <si>
    <t>CAPA26113001</t>
  </si>
  <si>
    <t>CAPA26122901</t>
  </si>
  <si>
    <t>CAPA26011301</t>
  </si>
  <si>
    <t>CAPA26011302</t>
  </si>
  <si>
    <t>CAPA26011401</t>
  </si>
  <si>
    <t>CAPA26011601</t>
  </si>
  <si>
    <t>CAPA26012001</t>
  </si>
  <si>
    <t>CAPA26012804</t>
  </si>
  <si>
    <t>CAPA26013002</t>
  </si>
  <si>
    <t>CAPA26020301</t>
  </si>
  <si>
    <t>CAPA26020401</t>
  </si>
  <si>
    <t>CAPA26020601</t>
  </si>
  <si>
    <t>CAPA26021102</t>
  </si>
  <si>
    <t>CAPA26021104</t>
  </si>
  <si>
    <t>CAPA26021105</t>
  </si>
  <si>
    <t>CAPA26021106</t>
  </si>
  <si>
    <t>CAPA26021107</t>
  </si>
  <si>
    <t>CAPA26021109</t>
  </si>
  <si>
    <t>CAPA26021110</t>
  </si>
  <si>
    <t>CAPA26021601</t>
  </si>
  <si>
    <t>CAPA26021701</t>
  </si>
  <si>
    <t>CAPA26021702</t>
  </si>
  <si>
    <t>CAPA26021801</t>
  </si>
  <si>
    <t>CAPA26022401</t>
  </si>
  <si>
    <t>CAPA26031102</t>
  </si>
  <si>
    <t>CAPA26032301</t>
  </si>
  <si>
    <t>CAPA26032701</t>
  </si>
  <si>
    <t>CAPA26032702</t>
  </si>
  <si>
    <t>CAPA26033001</t>
  </si>
  <si>
    <t>CAPA26033102</t>
  </si>
  <si>
    <t>CAPA26041001</t>
  </si>
  <si>
    <t>CAPA26041002</t>
  </si>
  <si>
    <t>CAPA26042302</t>
  </si>
  <si>
    <t>CAPA26042701</t>
  </si>
  <si>
    <t>CAPA26052701</t>
  </si>
  <si>
    <t>CAPA26052702</t>
  </si>
  <si>
    <t>CAPA26052801</t>
  </si>
  <si>
    <t>CAPA26060403</t>
  </si>
  <si>
    <t>CAPA26060902</t>
  </si>
  <si>
    <t>CAPA26061501</t>
  </si>
  <si>
    <t>CAPA26061702</t>
  </si>
  <si>
    <t>CAPA26061703</t>
  </si>
  <si>
    <t>CAPA26062205</t>
  </si>
  <si>
    <t>CAPA26062703</t>
  </si>
  <si>
    <t>CAPA26063002</t>
  </si>
  <si>
    <t>CAPA26070202</t>
  </si>
  <si>
    <t>CAPA26070603</t>
  </si>
  <si>
    <t>CAPA26070701</t>
  </si>
  <si>
    <t>CAPA26070805</t>
  </si>
  <si>
    <t>CAPA26070901</t>
  </si>
  <si>
    <t>CAPA26070902</t>
  </si>
  <si>
    <t>CAPA26071002</t>
  </si>
  <si>
    <t>CAPA26071003</t>
  </si>
  <si>
    <t>CAPA26071301</t>
  </si>
  <si>
    <t>CAPA26071701</t>
  </si>
  <si>
    <t>CAPA26072102</t>
  </si>
  <si>
    <t>CAPA26072701</t>
  </si>
  <si>
    <t>CAPA26072702</t>
  </si>
  <si>
    <t>CAPA26073003</t>
  </si>
  <si>
    <t>CAPA26081201</t>
  </si>
  <si>
    <t>CAPA26081202</t>
  </si>
  <si>
    <t>CAPA26082102</t>
  </si>
  <si>
    <t>CAPA26082402</t>
  </si>
  <si>
    <t>CAPA26082503</t>
  </si>
  <si>
    <t>Deviation Number</t>
  </si>
  <si>
    <t>T2 Location or Site</t>
  </si>
  <si>
    <t>Initiator</t>
  </si>
  <si>
    <t>Step Due</t>
  </si>
  <si>
    <t>Extensions</t>
  </si>
  <si>
    <t>Type</t>
  </si>
  <si>
    <t>Tracking Code</t>
  </si>
  <si>
    <t>System Flag</t>
  </si>
  <si>
    <t>Review Bucket</t>
  </si>
  <si>
    <t>DEV26062201</t>
  </si>
  <si>
    <t>Documentation Review Required</t>
  </si>
  <si>
    <t>user31</t>
  </si>
  <si>
    <t>Risk Evaluation</t>
  </si>
  <si>
    <t>Unplanned</t>
  </si>
  <si>
    <t>TRK-4079</t>
  </si>
  <si>
    <t>XF-74</t>
  </si>
  <si>
    <t>A</t>
  </si>
  <si>
    <t>DEV26070501</t>
  </si>
  <si>
    <t>Inventory Traceability Assessment</t>
  </si>
  <si>
    <t>Technical Assessment</t>
  </si>
  <si>
    <t>TRK-2920</t>
  </si>
  <si>
    <t>XF-53</t>
  </si>
  <si>
    <t>D</t>
  </si>
  <si>
    <t>DEV26092501</t>
  </si>
  <si>
    <t>Process Control Verification</t>
  </si>
  <si>
    <t>TRK-6311</t>
  </si>
  <si>
    <t>XF-33</t>
  </si>
  <si>
    <t>C</t>
  </si>
  <si>
    <t>DEV26011701</t>
  </si>
  <si>
    <t>Material Handling Review</t>
  </si>
  <si>
    <t>Inventory Control</t>
  </si>
  <si>
    <t>TRK-6519</t>
  </si>
  <si>
    <t>XF-34</t>
  </si>
  <si>
    <t>B</t>
  </si>
  <si>
    <t>DEV26030201</t>
  </si>
  <si>
    <t>Quality Record Reconciliation</t>
  </si>
  <si>
    <t>Impact Assessment</t>
  </si>
  <si>
    <t>TRK-8587</t>
  </si>
  <si>
    <t>XF-88</t>
  </si>
  <si>
    <t>DEV26071601</t>
  </si>
  <si>
    <t>TRK-2623</t>
  </si>
  <si>
    <t>XF-59</t>
  </si>
  <si>
    <t>DEV26082801</t>
  </si>
  <si>
    <t>user15</t>
  </si>
  <si>
    <t>TRK-9834</t>
  </si>
  <si>
    <t>XF-87</t>
  </si>
  <si>
    <t>DEV26101401</t>
  </si>
  <si>
    <t>TRK-1463</t>
  </si>
  <si>
    <t>XF-11</t>
  </si>
  <si>
    <t>DEV26102301</t>
  </si>
  <si>
    <t>TRK-8186</t>
  </si>
  <si>
    <t>XF-78</t>
  </si>
  <si>
    <t>DEV26103001</t>
  </si>
  <si>
    <t>Equipment Status Evaluation</t>
  </si>
  <si>
    <t>Disposition Review</t>
  </si>
  <si>
    <t>TRK-3311</t>
  </si>
  <si>
    <t>XF-93</t>
  </si>
  <si>
    <t>DEV26021601</t>
  </si>
  <si>
    <t>TRK-9613</t>
  </si>
  <si>
    <t>XF-17</t>
  </si>
  <si>
    <t>DEV26040601</t>
  </si>
  <si>
    <t>user41</t>
  </si>
  <si>
    <t>TRK-8436</t>
  </si>
  <si>
    <t>XF-96</t>
  </si>
  <si>
    <t>XF-47</t>
  </si>
  <si>
    <t>DEV26050401</t>
  </si>
  <si>
    <t>Investigation Review</t>
  </si>
  <si>
    <t>TRK-1184</t>
  </si>
  <si>
    <t>XF-82</t>
  </si>
  <si>
    <t>DEV26052101</t>
  </si>
  <si>
    <t>Quality Approval</t>
  </si>
  <si>
    <t>TRK-4465</t>
  </si>
  <si>
    <t>DEV26061501</t>
  </si>
  <si>
    <t>TRK-3501</t>
  </si>
  <si>
    <t>XF-30</t>
  </si>
  <si>
    <t>DEV26061502</t>
  </si>
  <si>
    <t>TRK-5856</t>
  </si>
  <si>
    <t>XF-69</t>
  </si>
  <si>
    <t>DEV26062101</t>
  </si>
  <si>
    <t>TRK-1798</t>
  </si>
  <si>
    <t>XF-63</t>
  </si>
  <si>
    <t>DEV26062102</t>
  </si>
  <si>
    <t>TRK-9578</t>
  </si>
  <si>
    <t>DEV26070801</t>
  </si>
  <si>
    <t>TRK-8170</t>
  </si>
  <si>
    <t>XF-94</t>
  </si>
  <si>
    <t>DEV26071701</t>
  </si>
  <si>
    <t>TRK-4799</t>
  </si>
  <si>
    <t>DEV26072001</t>
  </si>
  <si>
    <t>TRK-2083</t>
  </si>
  <si>
    <t>XF-76</t>
  </si>
  <si>
    <t>DEV26072002</t>
  </si>
  <si>
    <t>TRK-7874</t>
  </si>
  <si>
    <t>XF-79</t>
  </si>
  <si>
    <t>DEV26072003</t>
  </si>
  <si>
    <t>TRK-9103</t>
  </si>
  <si>
    <t>XF-49</t>
  </si>
  <si>
    <t>DEV26072101</t>
  </si>
  <si>
    <t>TRK-6609</t>
  </si>
  <si>
    <t>DEV26072201</t>
  </si>
  <si>
    <t>TRK-3932</t>
  </si>
  <si>
    <t>DEV26072402</t>
  </si>
  <si>
    <t>TRK-2035</t>
  </si>
  <si>
    <t>XF-71</t>
  </si>
  <si>
    <t>DEV26072801</t>
  </si>
  <si>
    <t>TRK-6958</t>
  </si>
  <si>
    <t>XF-16</t>
  </si>
  <si>
    <t>DEV26072901</t>
  </si>
  <si>
    <t>TRK-9058</t>
  </si>
  <si>
    <t>DEV26072902</t>
  </si>
  <si>
    <t>TRK-3680</t>
  </si>
  <si>
    <t>XF-61</t>
  </si>
  <si>
    <t>DEV26072903</t>
  </si>
  <si>
    <t>TRK-4944</t>
  </si>
  <si>
    <t>XF-32</t>
  </si>
  <si>
    <t>DEV26073101</t>
  </si>
  <si>
    <t>TRK-1292</t>
  </si>
  <si>
    <t>XF-81</t>
  </si>
  <si>
    <t>DEV26080601</t>
  </si>
  <si>
    <t>TRK-5827</t>
  </si>
  <si>
    <t>XF-48</t>
  </si>
  <si>
    <t>DEV26081201</t>
  </si>
  <si>
    <t>TRK-3530</t>
  </si>
  <si>
    <t>XF-77</t>
  </si>
  <si>
    <t>DEV26081202</t>
  </si>
  <si>
    <t>TRK-2205</t>
  </si>
  <si>
    <t>XF-75</t>
  </si>
  <si>
    <t>DEV26081203</t>
  </si>
  <si>
    <t>user19</t>
  </si>
  <si>
    <t>TRK-9386</t>
  </si>
  <si>
    <t>XF-99</t>
  </si>
  <si>
    <t>DEV26081303</t>
  </si>
  <si>
    <t>TRK-1810</t>
  </si>
  <si>
    <t>DEV26081401</t>
  </si>
  <si>
    <t>TRK-5692</t>
  </si>
  <si>
    <t>DEV26081802</t>
  </si>
  <si>
    <t>TRK-7710</t>
  </si>
  <si>
    <t>DEV26082401</t>
  </si>
  <si>
    <t>TRK-3882</t>
  </si>
  <si>
    <t>NA</t>
  </si>
  <si>
    <t>Dummy1</t>
  </si>
  <si>
    <t>Dummy2</t>
  </si>
  <si>
    <t>Dummy3</t>
  </si>
  <si>
    <t>Dummy4</t>
  </si>
  <si>
    <t>Dummy5</t>
  </si>
  <si>
    <t>Dummy6</t>
  </si>
  <si>
    <t>Dummy Title 1</t>
  </si>
  <si>
    <t>Dummy Title 2</t>
  </si>
  <si>
    <t>Dummy Title 3</t>
  </si>
  <si>
    <t>Dummy Title 4</t>
  </si>
  <si>
    <t>Dummy Title 5</t>
  </si>
  <si>
    <t>Dummy Title 6</t>
  </si>
  <si>
    <t>Dummy Department1</t>
  </si>
  <si>
    <t>Dummy Department2</t>
  </si>
  <si>
    <t>Dummy Department3</t>
  </si>
  <si>
    <t>Dummy Department4</t>
  </si>
  <si>
    <t>Dummy Department5</t>
  </si>
  <si>
    <t>Dummy Department6</t>
  </si>
  <si>
    <t>Dummy Title 7</t>
  </si>
  <si>
    <t>Dummy Title 8</t>
  </si>
  <si>
    <t>Dummy Title 9</t>
  </si>
  <si>
    <t>Dummy Title 10</t>
  </si>
  <si>
    <t>Dummy Title 11</t>
  </si>
  <si>
    <t>Dummy Title 12</t>
  </si>
  <si>
    <t>Dummy Title 13</t>
  </si>
  <si>
    <t>Dummy Title 14</t>
  </si>
  <si>
    <t>Dummy Title 15</t>
  </si>
  <si>
    <t>Dummy7</t>
  </si>
  <si>
    <t>Dummy8</t>
  </si>
  <si>
    <t>Dummy9</t>
  </si>
  <si>
    <t>Dummy10</t>
  </si>
  <si>
    <t>Dummy11</t>
  </si>
  <si>
    <t>Dummy12</t>
  </si>
  <si>
    <t>Dummy13</t>
  </si>
  <si>
    <t>Dummy14</t>
  </si>
  <si>
    <t>Dummy15</t>
  </si>
  <si>
    <t>Dummy16</t>
  </si>
  <si>
    <t>Dummy17</t>
  </si>
  <si>
    <t>Dummy18</t>
  </si>
  <si>
    <t>Dummy Department8</t>
  </si>
  <si>
    <t>Dummy Department7</t>
  </si>
  <si>
    <t>Dummy Department9</t>
  </si>
  <si>
    <t>Dummy Department10</t>
  </si>
  <si>
    <t>Dummy Department11</t>
  </si>
  <si>
    <t>Dummy Department12</t>
  </si>
  <si>
    <t>Dummy Department13</t>
  </si>
  <si>
    <t>Dummy Department14</t>
  </si>
  <si>
    <t>Dummy Department15</t>
  </si>
  <si>
    <t>Dummy Department16</t>
  </si>
  <si>
    <t>Dummy Department17</t>
  </si>
  <si>
    <t>Step Duration (In Days)</t>
  </si>
  <si>
    <t>Due Status</t>
  </si>
  <si>
    <t>Not Past Due</t>
  </si>
  <si>
    <t>Past Due</t>
  </si>
  <si>
    <t>Quality System</t>
  </si>
  <si>
    <t>Snap Shot Date</t>
  </si>
  <si>
    <t>InfoCard Number</t>
  </si>
  <si>
    <t>Investigation Title</t>
  </si>
  <si>
    <t>Event</t>
  </si>
  <si>
    <t>Laboratory</t>
  </si>
  <si>
    <t>InfoCard Creator</t>
  </si>
  <si>
    <t>Product</t>
  </si>
  <si>
    <t>Lot Number</t>
  </si>
  <si>
    <t>InfoCard Step Name</t>
  </si>
  <si>
    <t>Review Token</t>
  </si>
  <si>
    <t>System Marker</t>
  </si>
  <si>
    <t>OOS26081301</t>
  </si>
  <si>
    <t>Sample Integrity Assessment</t>
  </si>
  <si>
    <t>Out of Specification</t>
  </si>
  <si>
    <t>Drug Product Stability</t>
  </si>
  <si>
    <t>Product Nova</t>
  </si>
  <si>
    <t>M95170</t>
  </si>
  <si>
    <t>Closure Approval</t>
  </si>
  <si>
    <t>RT-7806</t>
  </si>
  <si>
    <t>SM-89</t>
  </si>
  <si>
    <t>OOS26012001</t>
  </si>
  <si>
    <t>Laboratory Result Review</t>
  </si>
  <si>
    <t>Out of Trend</t>
  </si>
  <si>
    <t>Technical Review</t>
  </si>
  <si>
    <t>RT-1619</t>
  </si>
  <si>
    <t>SM-64</t>
  </si>
  <si>
    <t>OOS26030501</t>
  </si>
  <si>
    <t>G42750</t>
  </si>
  <si>
    <t>Final Evaluation</t>
  </si>
  <si>
    <t>RT-9263</t>
  </si>
  <si>
    <t>SM-61</t>
  </si>
  <si>
    <t>OOS26030502</t>
  </si>
  <si>
    <t>Product Titan</t>
  </si>
  <si>
    <t>A29463</t>
  </si>
  <si>
    <t>Data Verification</t>
  </si>
  <si>
    <t>RT-4793</t>
  </si>
  <si>
    <t>SM-13</t>
  </si>
  <si>
    <t>OOS26040901</t>
  </si>
  <si>
    <t>Impurity Investigation</t>
  </si>
  <si>
    <t>Drug Substance Stability</t>
  </si>
  <si>
    <t>I89618</t>
  </si>
  <si>
    <t>Quality Assessment</t>
  </si>
  <si>
    <t>RT-2221</t>
  </si>
  <si>
    <t>SM-22</t>
  </si>
  <si>
    <t>OOS26041501</t>
  </si>
  <si>
    <t>Stability Trend Assessment</t>
  </si>
  <si>
    <t>Product Alpha</t>
  </si>
  <si>
    <t>M77449</t>
  </si>
  <si>
    <t>RT-5538</t>
  </si>
  <si>
    <t>SM-30</t>
  </si>
  <si>
    <t>OOS26042701</t>
  </si>
  <si>
    <t>Specification Evaluation</t>
  </si>
  <si>
    <t>F09724</t>
  </si>
  <si>
    <t>RT-3718</t>
  </si>
  <si>
    <t>SM-41</t>
  </si>
  <si>
    <t>OOS26051401</t>
  </si>
  <si>
    <t>RT-5083</t>
  </si>
  <si>
    <t>OOS26060101</t>
  </si>
  <si>
    <t>Product Orion</t>
  </si>
  <si>
    <t>M44941</t>
  </si>
  <si>
    <t>RT-1310</t>
  </si>
  <si>
    <t>SM-75</t>
  </si>
  <si>
    <t>OOS26062401</t>
  </si>
  <si>
    <t>Product Zenith</t>
  </si>
  <si>
    <t>A23588</t>
  </si>
  <si>
    <t>RT-1759</t>
  </si>
  <si>
    <t>SM-19</t>
  </si>
  <si>
    <t>OOS26070201</t>
  </si>
  <si>
    <t>RT-1409</t>
  </si>
  <si>
    <t>SM-79</t>
  </si>
  <si>
    <t>OOS26070801</t>
  </si>
  <si>
    <t>Product Falcon</t>
  </si>
  <si>
    <t>R60010</t>
  </si>
  <si>
    <t>RT-7685</t>
  </si>
  <si>
    <t>SM-54</t>
  </si>
  <si>
    <t>OOS26080501</t>
  </si>
  <si>
    <t>user22</t>
  </si>
  <si>
    <t>A83632</t>
  </si>
  <si>
    <t>RT-5905</t>
  </si>
  <si>
    <t>SM-45</t>
  </si>
  <si>
    <t>OOS26081302</t>
  </si>
  <si>
    <t>Finished Drug Product</t>
  </si>
  <si>
    <t>M30905</t>
  </si>
  <si>
    <t>RT-8129</t>
  </si>
  <si>
    <t>SM-44</t>
  </si>
  <si>
    <t>Linked Source</t>
  </si>
  <si>
    <t>Extension Request Counter</t>
  </si>
  <si>
    <t>Site</t>
  </si>
  <si>
    <t>Total Open</t>
  </si>
  <si>
    <t>Total Past Due</t>
  </si>
  <si>
    <t>CAPA Summary</t>
  </si>
  <si>
    <t>Deviation Summary</t>
  </si>
  <si>
    <t>Event Summary</t>
  </si>
  <si>
    <t>OOS Summary</t>
  </si>
  <si>
    <t>InfoCard Vault</t>
  </si>
  <si>
    <t>Due Date</t>
  </si>
  <si>
    <t>Event Report Forms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</si>
</sst>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8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409]dd/mmm/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"/>
    </dxf>
    <dxf>
      <numFmt numFmtId="0" formatCode="General"/>
    </dxf>
    <dxf>
      <numFmt numFmtId="164" formatCode="[$-409]dd/mmm/yy;@"/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dd/mm/yy"/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409]dd/mmm/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409]dd/mmm/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409]dd/mmm/yy;@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d/mmm/yy;@"/>
      <alignment horizontal="center" vertical="center" textRotation="0" wrapText="0" indent="0" justifyLastLine="0" shrinkToFit="0" readingOrder="0"/>
    </dxf>
    <dxf>
      <numFmt numFmtId="164" formatCode="[$-409]dd/mmm/yy;@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d/mmm/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4" formatCode="[$-409]dd/mmm/yy;@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[$-409]dd/mmm/yy;@"/>
      <alignment horizontal="center" vertical="center" textRotation="0" wrapText="0" indent="0" justifyLastLine="0" shrinkToFit="0" readingOrder="0"/>
    </dxf>
    <dxf>
      <numFmt numFmtId="164" formatCode="[$-409]dd/mmm/yy;@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[$-409]dd/mmm/yy;@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d/mmm/yy;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164" formatCode="[$-409]dd/mmm/yy;@"/>
    </dxf>
    <dxf>
      <numFmt numFmtId="164" formatCode="[$-409]dd/mmm/yy;@"/>
    </dxf>
    <dxf>
      <numFmt numFmtId="0" formatCode="General"/>
    </dxf>
    <dxf>
      <numFmt numFmtId="0" formatCode="General"/>
    </dxf>
    <dxf>
      <numFmt numFmtId="164" formatCode="[$-409]dd/m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Summary!$A$111</c:f>
          <c:strCache>
            <c:ptCount val="1"/>
            <c:pt idx="0">
              <c:v>CAPA Open vs Past Due Trend - 02-Sep-2026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/>
              </a:solidFill>
              <a:latin typeface="Avenir Next LT Pro Light" panose="020B03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Summary!$B$2</c:f>
              <c:strCache>
                <c:ptCount val="1"/>
                <c:pt idx="0">
                  <c:v>Total Open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Next LT Pro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Summary!$A$3:$A$5</c:f>
              <c:numCache>
                <c:formatCode>[$-409]dd/mmm/yy;@</c:formatCode>
                <c:ptCount val="3"/>
                <c:pt idx="0">
                  <c:v>46261</c:v>
                </c:pt>
                <c:pt idx="1">
                  <c:v>46266</c:v>
                </c:pt>
                <c:pt idx="2">
                  <c:v>46267</c:v>
                </c:pt>
              </c:numCache>
            </c:numRef>
          </c:cat>
          <c:val>
            <c:numRef>
              <c:f>Summary!$B$3:$B$5</c:f>
              <c:numCache>
                <c:formatCode>General</c:formatCode>
                <c:ptCount val="3"/>
                <c:pt idx="0">
                  <c:v>95</c:v>
                </c:pt>
                <c:pt idx="1">
                  <c:v>95</c:v>
                </c:pt>
                <c:pt idx="2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4-4EDF-8717-969DC35E303A}"/>
            </c:ext>
          </c:extLst>
        </c:ser>
        <c:ser>
          <c:idx val="1"/>
          <c:order val="1"/>
          <c:tx>
            <c:strRef>
              <c:f>Summary!$C$2</c:f>
              <c:strCache>
                <c:ptCount val="1"/>
                <c:pt idx="0">
                  <c:v>Total Past Due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Next LT Pro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Summary!$A$3:$A$5</c:f>
              <c:numCache>
                <c:formatCode>[$-409]dd/mmm/yy;@</c:formatCode>
                <c:ptCount val="3"/>
                <c:pt idx="0">
                  <c:v>46261</c:v>
                </c:pt>
                <c:pt idx="1">
                  <c:v>46266</c:v>
                </c:pt>
                <c:pt idx="2">
                  <c:v>46267</c:v>
                </c:pt>
              </c:numCache>
            </c:numRef>
          </c:cat>
          <c:val>
            <c:numRef>
              <c:f>Summary!$C$3:$C$5</c:f>
              <c:numCache>
                <c:formatCode>General</c:formatCode>
                <c:ptCount val="3"/>
                <c:pt idx="0">
                  <c:v>47</c:v>
                </c:pt>
                <c:pt idx="1">
                  <c:v>58</c:v>
                </c:pt>
                <c:pt idx="2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04-4EDF-8717-969DC35E30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2311600"/>
        <c:axId val="1071759280"/>
      </c:lineChart>
      <c:catAx>
        <c:axId val="1062311600"/>
        <c:scaling>
          <c:orientation val="minMax"/>
        </c:scaling>
        <c:delete val="0"/>
        <c:axPos val="b"/>
        <c:numFmt formatCode="[$-409]dd/m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Light" panose="020B03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71759280"/>
        <c:crosses val="autoZero"/>
        <c:auto val="0"/>
        <c:lblAlgn val="ctr"/>
        <c:lblOffset val="100"/>
        <c:noMultiLvlLbl val="0"/>
      </c:catAx>
      <c:valAx>
        <c:axId val="1071759280"/>
        <c:scaling>
          <c:orientation val="minMax"/>
          <c:min val="3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Light" panose="020B03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6231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 LT Pro Light" panose="020B03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venir Next LT Pro Light" panose="020B03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Summary!$A$112</c:f>
          <c:strCache>
            <c:ptCount val="1"/>
            <c:pt idx="0">
              <c:v>Deviation Open vs Past Due Trend - 02-Sep-2026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/>
              </a:solidFill>
              <a:latin typeface="Avenir Next LT Pro Light" panose="020B03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Summary!$F$2</c:f>
              <c:strCache>
                <c:ptCount val="1"/>
                <c:pt idx="0">
                  <c:v>Total Open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Avenir Next LT Pro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Summary!$E$3:$E$6</c:f>
              <c:numCache>
                <c:formatCode>[$-409]dd/mmm/yy;@</c:formatCode>
                <c:ptCount val="4"/>
                <c:pt idx="0">
                  <c:v>46255</c:v>
                </c:pt>
                <c:pt idx="1">
                  <c:v>46261</c:v>
                </c:pt>
                <c:pt idx="2">
                  <c:v>46266</c:v>
                </c:pt>
                <c:pt idx="3">
                  <c:v>46267</c:v>
                </c:pt>
              </c:numCache>
            </c:numRef>
          </c:cat>
          <c:val>
            <c:numRef>
              <c:f>Summary!$F$3:$F$6</c:f>
              <c:numCache>
                <c:formatCode>General</c:formatCode>
                <c:ptCount val="4"/>
                <c:pt idx="0">
                  <c:v>38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C-4A26-9CE9-7DD716069119}"/>
            </c:ext>
          </c:extLst>
        </c:ser>
        <c:ser>
          <c:idx val="1"/>
          <c:order val="1"/>
          <c:tx>
            <c:strRef>
              <c:f>Summary!$G$2</c:f>
              <c:strCache>
                <c:ptCount val="1"/>
                <c:pt idx="0">
                  <c:v>Total Past Due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Avenir Next LT Pro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Summary!$E$3:$E$6</c:f>
              <c:numCache>
                <c:formatCode>[$-409]dd/mmm/yy;@</c:formatCode>
                <c:ptCount val="4"/>
                <c:pt idx="0">
                  <c:v>46255</c:v>
                </c:pt>
                <c:pt idx="1">
                  <c:v>46261</c:v>
                </c:pt>
                <c:pt idx="2">
                  <c:v>46266</c:v>
                </c:pt>
                <c:pt idx="3">
                  <c:v>46267</c:v>
                </c:pt>
              </c:numCache>
            </c:numRef>
          </c:cat>
          <c:val>
            <c:numRef>
              <c:f>Summary!$G$3:$G$6</c:f>
              <c:numCache>
                <c:formatCode>General</c:formatCode>
                <c:ptCount val="4"/>
                <c:pt idx="0">
                  <c:v>32</c:v>
                </c:pt>
                <c:pt idx="1">
                  <c:v>30</c:v>
                </c:pt>
                <c:pt idx="2">
                  <c:v>35</c:v>
                </c:pt>
                <c:pt idx="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C-4A26-9CE9-7DD71606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382752"/>
        <c:axId val="1071841360"/>
      </c:lineChart>
      <c:catAx>
        <c:axId val="959382752"/>
        <c:scaling>
          <c:orientation val="minMax"/>
        </c:scaling>
        <c:delete val="0"/>
        <c:axPos val="b"/>
        <c:numFmt formatCode="[$-409]dd/m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venir Next LT Pro Light" panose="020B03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71841360"/>
        <c:crosses val="autoZero"/>
        <c:auto val="0"/>
        <c:lblAlgn val="ctr"/>
        <c:lblOffset val="100"/>
        <c:noMultiLvlLbl val="0"/>
      </c:catAx>
      <c:valAx>
        <c:axId val="1071841360"/>
        <c:scaling>
          <c:orientation val="minMax"/>
          <c:min val="2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venir Next LT Pro Light" panose="020B0304020202020204" pitchFamily="34" charset="0"/>
                <a:ea typeface="+mn-ea"/>
                <a:cs typeface="+mn-cs"/>
              </a:defRPr>
            </a:pPr>
            <a:endParaRPr lang="en-US"/>
          </a:p>
        </c:txPr>
        <c:crossAx val="95938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>
                  <a:lumMod val="50000"/>
                </a:schemeClr>
              </a:solidFill>
              <a:latin typeface="Avenir Next LT Pro Light" panose="020B03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Avenir Next LT Pro Light" panose="020B0304020202020204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Summary!$A$113</c:f>
          <c:strCache>
            <c:ptCount val="1"/>
            <c:pt idx="0">
              <c:v>Event Open vs Past Due Trend - 27-Aug-2026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venir Next LT Pro Light" panose="020B03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Summary!$J$2</c:f>
              <c:strCache>
                <c:ptCount val="1"/>
                <c:pt idx="0">
                  <c:v>Total Open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Next LT Pro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Summary!$I$3:$I$4</c:f>
              <c:numCache>
                <c:formatCode>[$-409]dd/mmm/yy;@</c:formatCode>
                <c:ptCount val="2"/>
                <c:pt idx="0">
                  <c:v>46255</c:v>
                </c:pt>
                <c:pt idx="1">
                  <c:v>46261</c:v>
                </c:pt>
              </c:numCache>
            </c:numRef>
          </c:cat>
          <c:val>
            <c:numRef>
              <c:f>Summary!$J$3:$J$4</c:f>
              <c:numCache>
                <c:formatCode>General</c:formatCode>
                <c:ptCount val="2"/>
                <c:pt idx="0">
                  <c:v>9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D2-4CB1-A241-E17A2A6F5F66}"/>
            </c:ext>
          </c:extLst>
        </c:ser>
        <c:ser>
          <c:idx val="1"/>
          <c:order val="1"/>
          <c:tx>
            <c:strRef>
              <c:f>Summary!$K$2</c:f>
              <c:strCache>
                <c:ptCount val="1"/>
                <c:pt idx="0">
                  <c:v>Total Past Due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Next LT Pro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Summary!$I$3:$I$4</c:f>
              <c:numCache>
                <c:formatCode>[$-409]dd/mmm/yy;@</c:formatCode>
                <c:ptCount val="2"/>
                <c:pt idx="0">
                  <c:v>46255</c:v>
                </c:pt>
                <c:pt idx="1">
                  <c:v>46261</c:v>
                </c:pt>
              </c:numCache>
            </c:numRef>
          </c:cat>
          <c:val>
            <c:numRef>
              <c:f>Summary!$K$3:$K$4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D2-4CB1-A241-E17A2A6F5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1053808"/>
        <c:axId val="1071673840"/>
      </c:lineChart>
      <c:catAx>
        <c:axId val="971053808"/>
        <c:scaling>
          <c:orientation val="minMax"/>
        </c:scaling>
        <c:delete val="0"/>
        <c:axPos val="b"/>
        <c:numFmt formatCode="[$-409]dd/m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Light" panose="020B03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71673840"/>
        <c:crosses val="autoZero"/>
        <c:auto val="0"/>
        <c:lblAlgn val="ctr"/>
        <c:lblOffset val="100"/>
        <c:noMultiLvlLbl val="0"/>
      </c:catAx>
      <c:valAx>
        <c:axId val="107167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Light" panose="020B0304020202020204" pitchFamily="34" charset="0"/>
                <a:ea typeface="+mn-ea"/>
                <a:cs typeface="+mn-cs"/>
              </a:defRPr>
            </a:pPr>
            <a:endParaRPr lang="en-US"/>
          </a:p>
        </c:txPr>
        <c:crossAx val="97105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 LT Pro Light" panose="020B03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venir Next LT Pro Light" panose="020B03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Summary!$A$114</c:f>
          <c:strCache>
            <c:ptCount val="1"/>
            <c:pt idx="0">
              <c:v>OOS Open vs Past Due Trend - 02-Sep-2026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venir Next LT Pro Light" panose="020B03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Summary!$N$2</c:f>
              <c:strCache>
                <c:ptCount val="1"/>
                <c:pt idx="0">
                  <c:v>Total Open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Next LT Pro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Summary!$M$3:$M$6</c:f>
              <c:numCache>
                <c:formatCode>[$-409]dd/mmm/yy;@</c:formatCode>
                <c:ptCount val="4"/>
                <c:pt idx="0">
                  <c:v>46255</c:v>
                </c:pt>
                <c:pt idx="1">
                  <c:v>46261</c:v>
                </c:pt>
                <c:pt idx="2">
                  <c:v>46266</c:v>
                </c:pt>
                <c:pt idx="3">
                  <c:v>46267</c:v>
                </c:pt>
              </c:numCache>
            </c:numRef>
          </c:cat>
          <c:val>
            <c:numRef>
              <c:f>Summary!$N$3:$N$6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9-40CD-912A-8883B0AD1651}"/>
            </c:ext>
          </c:extLst>
        </c:ser>
        <c:ser>
          <c:idx val="1"/>
          <c:order val="1"/>
          <c:tx>
            <c:strRef>
              <c:f>Summary!$O$2</c:f>
              <c:strCache>
                <c:ptCount val="1"/>
                <c:pt idx="0">
                  <c:v>Total Past Due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Next LT Pro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Summary!$M$3:$M$6</c:f>
              <c:numCache>
                <c:formatCode>[$-409]dd/mmm/yy;@</c:formatCode>
                <c:ptCount val="4"/>
                <c:pt idx="0">
                  <c:v>46255</c:v>
                </c:pt>
                <c:pt idx="1">
                  <c:v>46261</c:v>
                </c:pt>
                <c:pt idx="2">
                  <c:v>46266</c:v>
                </c:pt>
                <c:pt idx="3">
                  <c:v>46267</c:v>
                </c:pt>
              </c:numCache>
            </c:numRef>
          </c:cat>
          <c:val>
            <c:numRef>
              <c:f>Summary!$O$3:$O$6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10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49-40CD-912A-8883B0AD1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882096"/>
        <c:axId val="1040929232"/>
      </c:lineChart>
      <c:catAx>
        <c:axId val="650882096"/>
        <c:scaling>
          <c:orientation val="minMax"/>
        </c:scaling>
        <c:delete val="0"/>
        <c:axPos val="b"/>
        <c:numFmt formatCode="[$-409]dd/m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Light" panose="020B03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40929232"/>
        <c:crosses val="autoZero"/>
        <c:auto val="0"/>
        <c:lblAlgn val="ctr"/>
        <c:lblOffset val="100"/>
        <c:noMultiLvlLbl val="0"/>
      </c:catAx>
      <c:valAx>
        <c:axId val="104092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Light" panose="020B0304020202020204" pitchFamily="34" charset="0"/>
                <a:ea typeface="+mn-ea"/>
                <a:cs typeface="+mn-cs"/>
              </a:defRPr>
            </a:pPr>
            <a:endParaRPr lang="en-US"/>
          </a:p>
        </c:txPr>
        <c:crossAx val="65088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 LT Pro Light" panose="020B03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venir Next LT Pro Light" panose="020B03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11</xdr:col>
      <xdr:colOff>157595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108570-B8CC-4EF1-908B-66AB7385A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125557</xdr:colOff>
      <xdr:row>0</xdr:row>
      <xdr:rowOff>4762</xdr:rowOff>
    </xdr:from>
    <xdr:to>
      <xdr:col>23</xdr:col>
      <xdr:colOff>274493</xdr:colOff>
      <xdr:row>19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91EFC8-1747-483D-B58C-58F307571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28575</xdr:colOff>
      <xdr:row>22</xdr:row>
      <xdr:rowOff>4762</xdr:rowOff>
    </xdr:from>
    <xdr:to>
      <xdr:col>11</xdr:col>
      <xdr:colOff>186170</xdr:colOff>
      <xdr:row>41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DFAAF6-6082-4631-B11E-060541904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12</xdr:col>
      <xdr:colOff>101744</xdr:colOff>
      <xdr:row>21</xdr:row>
      <xdr:rowOff>185737</xdr:rowOff>
    </xdr:from>
    <xdr:to>
      <xdr:col>23</xdr:col>
      <xdr:colOff>250680</xdr:colOff>
      <xdr:row>41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50F0C2-CFF9-4ACD-BA78-B3AB035C0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3D53B2F-DE4B-4AEC-B4ED-8DB4420DDFD7}" autoFormatId="16" applyNumberFormats="0" applyBorderFormats="0" applyFontFormats="0" applyPatternFormats="0" applyAlignmentFormats="0" applyWidthHeightFormats="0">
  <queryTableRefresh nextId="27">
    <queryTableFields count="26">
      <queryTableField id="1" name="Snap Shot Date" tableColumnId="1"/>
      <queryTableField id="2" name="CAPA Owner" tableColumnId="2"/>
      <queryTableField id="3" name="CAPA Number" tableColumnId="3"/>
      <queryTableField id="4" name="Linked Source" tableColumnId="4"/>
      <queryTableField id="5" name="Date Opened" tableColumnId="5"/>
      <queryTableField id="6" name="Overall Due" tableColumnId="6"/>
      <queryTableField id="7" name="Extension Request Counter" tableColumnId="7"/>
      <queryTableField id="8" name="Title" tableColumnId="8"/>
      <queryTableField id="9" name="Site" tableColumnId="9"/>
      <queryTableField id="10" name="Product Line" tableColumnId="10"/>
      <queryTableField id="11" name="APi #1" tableColumnId="11"/>
      <queryTableField id="12" name="Lot #1" tableColumnId="12"/>
      <queryTableField id="13" name="APi #2" tableColumnId="13"/>
      <queryTableField id="14" name="Lot #2" tableColumnId="14"/>
      <queryTableField id="15" name="APi #3" tableColumnId="15"/>
      <queryTableField id="16" name="Lot #3" tableColumnId="16"/>
      <queryTableField id="17" name="Department" tableColumnId="17"/>
      <queryTableField id="18" name="Step Name" tableColumnId="18"/>
      <queryTableField id="19" name="Step Due Date" tableColumnId="19"/>
      <queryTableField id="20" name="Related to Deviation?" tableColumnId="20"/>
      <queryTableField id="21" name="Customer Notification (CA)" tableColumnId="21"/>
      <queryTableField id="22" name="Customer Notification (PA)" tableColumnId="22"/>
      <queryTableField id="23" name="Step Duration (In Days)" tableColumnId="23"/>
      <queryTableField id="24" name="Due Status" tableColumnId="24"/>
      <queryTableField id="25" name="Due Today" tableColumnId="25"/>
      <queryTableField id="26" name="Due This Week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33B73D8-09A1-405A-A410-125A84052087}" autoFormatId="16" applyNumberFormats="0" applyBorderFormats="0" applyFontFormats="0" applyPatternFormats="0" applyAlignmentFormats="0" applyWidthHeightFormats="0">
  <queryTableRefresh nextId="22">
    <queryTableFields count="18">
      <queryTableField id="1" name="Snap Shot Date" tableColumnId="1"/>
      <queryTableField id="2" name="Deviation Number" tableColumnId="2"/>
      <queryTableField id="3" name="Title" tableColumnId="3"/>
      <queryTableField id="4" name="Create Date" tableColumnId="4"/>
      <queryTableField id="5" name="Overall Due" tableColumnId="5"/>
      <queryTableField id="6" name="Initiator" tableColumnId="6"/>
      <queryTableField id="7" name="Step Name" tableColumnId="7"/>
      <queryTableField id="8" name="Step Due" tableColumnId="8"/>
      <queryTableField id="9" name="Extensions" tableColumnId="9"/>
      <queryTableField id="10" name="Type" tableColumnId="10"/>
      <queryTableField id="11" name="Department" tableColumnId="11"/>
      <queryTableField id="12" name="Tracking Code" tableColumnId="12"/>
      <queryTableField id="13" name="System Flag" tableColumnId="13"/>
      <queryTableField id="14" name="Review Bucket" tableColumnId="14"/>
      <queryTableField id="17" name="Step Duration (In Days)" tableColumnId="17"/>
      <queryTableField id="18" name="Due Status" tableColumnId="18"/>
      <queryTableField id="16" name="Due Today" tableColumnId="16"/>
      <queryTableField id="15" name="Due This Week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10F2C52C-121A-432A-8F6C-16F3370E7373}" autoFormatId="16" applyNumberFormats="0" applyBorderFormats="0" applyFontFormats="0" applyPatternFormats="0" applyAlignmentFormats="0" applyWidthHeightFormats="0">
  <queryTableRefresh nextId="18">
    <queryTableFields count="17">
      <queryTableField id="1" name="Snap Shot Date" tableColumnId="1"/>
      <queryTableField id="2" name="InfoCard Number" tableColumnId="2"/>
      <queryTableField id="3" name="Investigation Title" tableColumnId="3"/>
      <queryTableField id="4" name="Event" tableColumnId="4"/>
      <queryTableField id="5" name="Laboratory" tableColumnId="5"/>
      <queryTableField id="6" name="InfoCard Creator" tableColumnId="6"/>
      <queryTableField id="7" name="Create Date" tableColumnId="7"/>
      <queryTableField id="8" name="Step Due Date" tableColumnId="8"/>
      <queryTableField id="9" name="Product" tableColumnId="9"/>
      <queryTableField id="10" name="Lot Number" tableColumnId="10"/>
      <queryTableField id="11" name="InfoCard Step Name" tableColumnId="11"/>
      <queryTableField id="12" name="Review Token" tableColumnId="12"/>
      <queryTableField id="13" name="System Marker" tableColumnId="13"/>
      <queryTableField id="14" name="Step Duration (In Days)" tableColumnId="14"/>
      <queryTableField id="15" name="Due Today" tableColumnId="15"/>
      <queryTableField id="16" name="Due This Week" tableColumnId="16"/>
      <queryTableField id="17" name="Due Status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3EB637A8-2628-4976-8AC2-712BAA5676B8}" autoFormatId="16" applyNumberFormats="0" applyBorderFormats="0" applyFontFormats="0" applyPatternFormats="0" applyAlignmentFormats="0" applyWidthHeightFormats="0">
  <queryTableRefresh nextId="21">
    <queryTableFields count="13">
      <queryTableField id="13" name="Snap Shot Date" tableColumnId="1"/>
      <queryTableField id="2" name="Event Number" tableColumnId="2"/>
      <queryTableField id="14" name="InfoCard Vault" tableColumnId="6"/>
      <queryTableField id="3" name="Title" tableColumnId="3"/>
      <queryTableField id="4" name="Creator" tableColumnId="4"/>
      <queryTableField id="5" name="Create Date" tableColumnId="5"/>
      <queryTableField id="15" name="InfoCard Step Name" tableColumnId="7"/>
      <queryTableField id="16" name="Due Date" tableColumnId="13"/>
      <queryTableField id="8" name="Department" tableColumnId="8"/>
      <queryTableField id="9" name="Step Duration (In Days)" tableColumnId="9"/>
      <queryTableField id="10" name="Due Status" tableColumnId="10"/>
      <queryTableField id="11" name="Due Today" tableColumnId="11"/>
      <queryTableField id="12" name="Due This Week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9718EFB-5736-4E35-8245-234D4CEBD017}" autoFormatId="16" applyNumberFormats="0" applyBorderFormats="0" applyFontFormats="0" applyPatternFormats="0" applyAlignmentFormats="0" applyWidthHeightFormats="0">
  <queryTableRefresh nextId="4">
    <queryTableFields count="3">
      <queryTableField id="1" name="Snap Shot Date" tableColumnId="1"/>
      <queryTableField id="2" name="Total Open" tableColumnId="2"/>
      <queryTableField id="3" name="Total Past Du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B30CFF10-2397-4DFC-BDAC-C0ACEAD66F47}" autoFormatId="16" applyNumberFormats="0" applyBorderFormats="0" applyFontFormats="0" applyPatternFormats="0" applyAlignmentFormats="0" applyWidthHeightFormats="0">
  <queryTableRefresh nextId="4">
    <queryTableFields count="3">
      <queryTableField id="1" name="Snap Shot Date" tableColumnId="1"/>
      <queryTableField id="2" name="Total Open" tableColumnId="2"/>
      <queryTableField id="3" name="Total Past Du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997797D8-4089-4335-9ED4-3CFE2EBDEFAB}" autoFormatId="16" applyNumberFormats="0" applyBorderFormats="0" applyFontFormats="0" applyPatternFormats="0" applyAlignmentFormats="0" applyWidthHeightFormats="0">
  <queryTableRefresh nextId="4">
    <queryTableFields count="3">
      <queryTableField id="1" name="Snap Shot Date" tableColumnId="1"/>
      <queryTableField id="2" name="Total Open" tableColumnId="2"/>
      <queryTableField id="3" name="Total Past Due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6" xr16:uid="{89A2A13E-DFC8-4528-AB42-736B93361E8E}" autoFormatId="16" applyNumberFormats="0" applyBorderFormats="0" applyFontFormats="0" applyPatternFormats="0" applyAlignmentFormats="0" applyWidthHeightFormats="0">
  <queryTableRefresh nextId="4">
    <queryTableFields count="3">
      <queryTableField id="1" name="Snap Shot Date" tableColumnId="1"/>
      <queryTableField id="2" name="Total Open" tableColumnId="2"/>
      <queryTableField id="3" name="Total Past D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F2435F4-DF21-4050-AA6D-CF485AA6DB00}" name="CAPA_Query" displayName="CAPA_Query" ref="A1:Z96" tableType="queryTable" totalsRowShown="0">
  <autoFilter ref="A1:Z96" xr:uid="{EF2435F4-DF21-4050-AA6D-CF485AA6DB00}"/>
  <tableColumns count="26">
    <tableColumn id="1" xr3:uid="{F965BEE7-48C0-4783-8C17-EB1D38C60AC3}" uniqueName="1" name="Snap Shot Date" queryTableFieldId="1" dataDxfId="84"/>
    <tableColumn id="2" xr3:uid="{186E30E3-0010-4FA7-BF8F-DD54CBEA9797}" uniqueName="2" name="CAPA Owner" queryTableFieldId="2"/>
    <tableColumn id="3" xr3:uid="{8ED4CBE7-D8CD-4349-BB43-445F4657A10C}" uniqueName="3" name="CAPA Number" queryTableFieldId="3" dataDxfId="83"/>
    <tableColumn id="4" xr3:uid="{D730753C-4A8C-42A2-93D9-9F127CA2D45C}" uniqueName="4" name="Linked Source" queryTableFieldId="4" dataDxfId="82"/>
    <tableColumn id="5" xr3:uid="{140FD747-A61F-4D71-A96B-A93233B89F36}" uniqueName="5" name="Date Opened" queryTableFieldId="5" dataDxfId="81"/>
    <tableColumn id="6" xr3:uid="{5EA487A9-7E54-4635-A25E-D2BD4E8D4327}" uniqueName="6" name="Overall Due" queryTableFieldId="6" dataDxfId="80"/>
    <tableColumn id="7" xr3:uid="{BEE0ED3B-7DA8-4818-8360-57AD5DF1E4E1}" uniqueName="7" name="Extension Request Counter" queryTableFieldId="7" dataDxfId="79"/>
    <tableColumn id="8" xr3:uid="{B45AE67F-AF21-47EB-B9E3-91703CC0F9A3}" uniqueName="8" name="Title" queryTableFieldId="8"/>
    <tableColumn id="9" xr3:uid="{6ABFE5A4-1A5D-4425-B83C-5D8D133AA663}" uniqueName="9" name="Site" queryTableFieldId="9"/>
    <tableColumn id="10" xr3:uid="{6BD297B3-F7F8-4279-A460-0014CD249F8E}" uniqueName="10" name="Product Line" queryTableFieldId="10" dataDxfId="78"/>
    <tableColumn id="11" xr3:uid="{E9EBE72A-67EA-4257-94ED-52EDA0B3EE50}" uniqueName="11" name="APi #1" queryTableFieldId="11" dataDxfId="77"/>
    <tableColumn id="12" xr3:uid="{E7A4D879-5EF2-41B0-A6E0-AA2964877DC2}" uniqueName="12" name="Lot #1" queryTableFieldId="12" dataDxfId="76"/>
    <tableColumn id="13" xr3:uid="{21047D65-DDA6-4185-93C4-6318F98EA148}" uniqueName="13" name="APi #2" queryTableFieldId="13" dataDxfId="75"/>
    <tableColumn id="14" xr3:uid="{C3021BF4-4170-478E-AC8E-51D9D5986B6D}" uniqueName="14" name="Lot #2" queryTableFieldId="14" dataDxfId="74"/>
    <tableColumn id="15" xr3:uid="{5D9A2E7B-62F3-4FBF-BDF0-510785F2EAAB}" uniqueName="15" name="APi #3" queryTableFieldId="15"/>
    <tableColumn id="16" xr3:uid="{C8F6DC72-7465-4A64-AE1B-25B28891EB8F}" uniqueName="16" name="Lot #3" queryTableFieldId="16"/>
    <tableColumn id="17" xr3:uid="{AAD2DBC9-8FB5-430D-9238-2C36CB99FFAA}" uniqueName="17" name="Department" queryTableFieldId="17"/>
    <tableColumn id="18" xr3:uid="{DF5B5CD9-4540-4458-B6EB-28FA4EE2A409}" uniqueName="18" name="Step Name" queryTableFieldId="18" dataDxfId="73"/>
    <tableColumn id="19" xr3:uid="{934B386A-F6CA-48F5-ABB5-653387B293C4}" uniqueName="19" name="Step Due Date" queryTableFieldId="19" dataDxfId="72"/>
    <tableColumn id="20" xr3:uid="{968A05D3-4DF4-44CB-8C4E-D98AD743B4A6}" uniqueName="20" name="Related to Deviation?" queryTableFieldId="20" dataDxfId="71"/>
    <tableColumn id="21" xr3:uid="{71643B97-9D17-438A-8F35-502E5CD81321}" uniqueName="21" name="Customer Notification (CA)" queryTableFieldId="21" dataDxfId="70"/>
    <tableColumn id="22" xr3:uid="{4F7209AB-76D9-4B81-914D-FEE4F0E2497B}" uniqueName="22" name="Customer Notification (PA)" queryTableFieldId="22" dataDxfId="69"/>
    <tableColumn id="23" xr3:uid="{06039342-1FE8-4E68-9ABB-C3D2D8A0B416}" uniqueName="23" name="Step Duration (In Days)" queryTableFieldId="23" dataDxfId="68"/>
    <tableColumn id="24" xr3:uid="{1148B83A-C0BA-46C4-A580-FD059891A85B}" uniqueName="24" name="Due Status" queryTableFieldId="24"/>
    <tableColumn id="25" xr3:uid="{79758889-5338-4E55-87B3-77A1851373EE}" uniqueName="25" name="Due Today" queryTableFieldId="25"/>
    <tableColumn id="26" xr3:uid="{619A9A66-A9B7-4A1A-AFA1-FAE6BED82CFE}" uniqueName="26" name="Due This Week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D1EBE94-708C-4786-9BC1-25155E22BAAE}" name="Deviation_Query" displayName="Deviation_Query" ref="A1:R40" tableType="queryTable" totalsRowShown="0">
  <autoFilter ref="A1:R40" xr:uid="{7D1EBE94-708C-4786-9BC1-25155E22BAAE}"/>
  <tableColumns count="18">
    <tableColumn id="1" xr3:uid="{C2989911-748F-408A-9523-BB790AF19A9C}" uniqueName="1" name="Snap Shot Date" queryTableFieldId="1" dataDxfId="67"/>
    <tableColumn id="2" xr3:uid="{2772BD05-00B7-4005-8041-A6AD3A1D8EC2}" uniqueName="2" name="Deviation Number" queryTableFieldId="2" dataDxfId="66"/>
    <tableColumn id="3" xr3:uid="{A0B34D85-4309-459E-8829-2E5A7E49FB51}" uniqueName="3" name="Title" queryTableFieldId="3" dataDxfId="65"/>
    <tableColumn id="4" xr3:uid="{14E4487C-346B-4079-9BA1-CF39E52AB2AA}" uniqueName="4" name="Create Date" queryTableFieldId="4" dataDxfId="64"/>
    <tableColumn id="5" xr3:uid="{0029E89E-4D69-4DE7-96AC-3546A125DBA4}" uniqueName="5" name="Overall Due" queryTableFieldId="5" dataDxfId="63"/>
    <tableColumn id="6" xr3:uid="{179653F7-37A9-4C77-9A85-16A00AFD3103}" uniqueName="6" name="Initiator" queryTableFieldId="6" dataDxfId="62"/>
    <tableColumn id="7" xr3:uid="{D5B7437E-DC33-4829-BDE2-E01C53BFBF7C}" uniqueName="7" name="Step Name" queryTableFieldId="7" dataDxfId="61"/>
    <tableColumn id="8" xr3:uid="{9D00AC8A-8FEF-436C-AF64-CC6B0A9F295B}" uniqueName="8" name="Step Due" queryTableFieldId="8" dataDxfId="60"/>
    <tableColumn id="9" xr3:uid="{4E3149E7-C411-4448-B2B9-C97019494937}" uniqueName="9" name="Extensions" queryTableFieldId="9" dataDxfId="59"/>
    <tableColumn id="10" xr3:uid="{B89F9069-6B73-4492-8F13-20151513C527}" uniqueName="10" name="Type" queryTableFieldId="10" dataDxfId="58"/>
    <tableColumn id="11" xr3:uid="{780E3C02-8314-41A1-826E-94BBE0774B2A}" uniqueName="11" name="Department" queryTableFieldId="11"/>
    <tableColumn id="12" xr3:uid="{8F75ED6D-6F94-47C1-AB3C-71061F85C55C}" uniqueName="12" name="Tracking Code" queryTableFieldId="12" dataDxfId="57"/>
    <tableColumn id="13" xr3:uid="{9AEA0037-ED8E-4D9D-9564-A9392C6F76B7}" uniqueName="13" name="System Flag" queryTableFieldId="13" dataDxfId="56"/>
    <tableColumn id="14" xr3:uid="{F3F3838E-831A-4008-8504-8A9C35A5A28A}" uniqueName="14" name="Review Bucket" queryTableFieldId="14" dataDxfId="55"/>
    <tableColumn id="17" xr3:uid="{16D26028-93B4-46A6-9456-C914C115A05A}" uniqueName="17" name="Step Duration (In Days)" queryTableFieldId="17" dataDxfId="54"/>
    <tableColumn id="18" xr3:uid="{54D9AF1B-42F5-47F8-A9D2-585562D45574}" uniqueName="18" name="Due Status" queryTableFieldId="18"/>
    <tableColumn id="16" xr3:uid="{C0E25F78-5149-4D06-A25B-F6E75342806B}" uniqueName="16" name="Due Today" queryTableFieldId="16"/>
    <tableColumn id="15" xr3:uid="{A5EFD514-2946-4BA1-9746-EA6DD252EBFC}" uniqueName="15" name="Due This Week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FEF3C0E-0B8B-483F-A911-B8B764B4EF41}" name="OOS_Query" displayName="OOS_Query" ref="A1:Q15" tableType="queryTable" totalsRowShown="0">
  <autoFilter ref="A1:Q15" xr:uid="{2FEF3C0E-0B8B-483F-A911-B8B764B4EF41}"/>
  <tableColumns count="17">
    <tableColumn id="1" xr3:uid="{79D3F639-ABA6-4B63-A172-DC3EF7A89CFE}" uniqueName="1" name="Snap Shot Date" queryTableFieldId="1" dataDxfId="53"/>
    <tableColumn id="2" xr3:uid="{D5B5B0D7-0D37-4733-BCA0-3FB970979ABE}" uniqueName="2" name="InfoCard Number" queryTableFieldId="2" dataDxfId="52"/>
    <tableColumn id="3" xr3:uid="{2EC1EA1E-78CF-40C2-B2D8-318DE22D8764}" uniqueName="3" name="Investigation Title" queryTableFieldId="3" dataDxfId="51"/>
    <tableColumn id="4" xr3:uid="{2D709172-BCE9-4E0C-94B3-A6D4C4456390}" uniqueName="4" name="Event" queryTableFieldId="4" dataDxfId="50"/>
    <tableColumn id="5" xr3:uid="{882690C5-679A-48D7-A748-15438738276E}" uniqueName="5" name="Laboratory" queryTableFieldId="5" dataDxfId="49"/>
    <tableColumn id="6" xr3:uid="{661DE481-6B4E-4058-9DA2-0F0D5E5BD356}" uniqueName="6" name="InfoCard Creator" queryTableFieldId="6" dataDxfId="48"/>
    <tableColumn id="7" xr3:uid="{2D814BB4-6736-4E99-89DC-D1629DE859E4}" uniqueName="7" name="Create Date" queryTableFieldId="7" dataDxfId="47"/>
    <tableColumn id="8" xr3:uid="{DAAA632F-B6BB-4939-83F7-30A6F2630387}" uniqueName="8" name="Step Due Date" queryTableFieldId="8" dataDxfId="46"/>
    <tableColumn id="9" xr3:uid="{36221845-61E8-418F-95A1-FA187855FD62}" uniqueName="9" name="Product" queryTableFieldId="9" dataDxfId="45"/>
    <tableColumn id="10" xr3:uid="{2172BBA0-627B-4A26-8DCB-BA96D6098F66}" uniqueName="10" name="Lot Number" queryTableFieldId="10" dataDxfId="44"/>
    <tableColumn id="11" xr3:uid="{198CB00B-C3BD-495F-A679-0524CEBA32AF}" uniqueName="11" name="InfoCard Step Name" queryTableFieldId="11" dataDxfId="43"/>
    <tableColumn id="12" xr3:uid="{6FE2D6CC-9BD0-45A8-BF9E-B6B5A617AC75}" uniqueName="12" name="Review Token" queryTableFieldId="12" dataDxfId="42"/>
    <tableColumn id="13" xr3:uid="{37017C98-B965-4011-9855-89FFF5487192}" uniqueName="13" name="System Marker" queryTableFieldId="13" dataDxfId="41"/>
    <tableColumn id="14" xr3:uid="{1EB69A11-1DEE-4D77-A89C-93B435BE014E}" uniqueName="14" name="Step Duration (In Days)" queryTableFieldId="14" dataDxfId="40"/>
    <tableColumn id="15" xr3:uid="{2847EC29-7579-4816-B026-98F72A06A62F}" uniqueName="15" name="Due Today" queryTableFieldId="15"/>
    <tableColumn id="16" xr3:uid="{67BDCE15-2219-4400-8A30-DFAD0B366F75}" uniqueName="16" name="Due This Week" queryTableFieldId="16"/>
    <tableColumn id="17" xr3:uid="{9224F6BD-7363-4917-90D5-81C674744EBE}" uniqueName="17" name="Due Status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F9F3F75-6D7C-439E-A41D-5817D551B3E7}" name="Event_Query" displayName="Event_Query" ref="A1:M14" tableType="queryTable" totalsRowShown="0">
  <autoFilter ref="A1:M14" xr:uid="{0F9F3F75-6D7C-439E-A41D-5817D551B3E7}"/>
  <tableColumns count="13">
    <tableColumn id="1" xr3:uid="{1508A12B-4AE8-4494-A60D-B5A39BF7BF21}" uniqueName="1" name="Snap Shot Date" queryTableFieldId="13" dataDxfId="10"/>
    <tableColumn id="2" xr3:uid="{DD626AED-2875-4B96-B7C3-DC2B92253611}" uniqueName="2" name="Event Number" queryTableFieldId="2" dataDxfId="39"/>
    <tableColumn id="6" xr3:uid="{D0086D25-D385-4DB3-B016-5BF5F34E48F2}" uniqueName="6" name="InfoCard Vault" queryTableFieldId="14" dataDxfId="9"/>
    <tableColumn id="3" xr3:uid="{805D7E74-FB87-43E8-9377-9BA89124EB0A}" uniqueName="3" name="Title" queryTableFieldId="3" dataDxfId="38"/>
    <tableColumn id="4" xr3:uid="{DFB75994-DBF5-4BB5-A6B3-3AF570876CA0}" uniqueName="4" name="Creator" queryTableFieldId="4" dataDxfId="37"/>
    <tableColumn id="5" xr3:uid="{A1433AD8-8450-4401-982C-45F48D68FED8}" uniqueName="5" name="Create Date" queryTableFieldId="5" dataDxfId="8"/>
    <tableColumn id="7" xr3:uid="{FF4EFB1A-00F1-4233-91AE-97D9A654891D}" uniqueName="7" name="InfoCard Step Name" queryTableFieldId="15" dataDxfId="7"/>
    <tableColumn id="13" xr3:uid="{BFF42ECD-EB66-44A2-A37D-1A8434BA2CC1}" uniqueName="13" name="Due Date" queryTableFieldId="16" dataDxfId="6"/>
    <tableColumn id="8" xr3:uid="{B2FBBC69-13FB-408B-800F-7DDCE318C75B}" uniqueName="8" name="Department" queryTableFieldId="8" dataDxfId="36"/>
    <tableColumn id="9" xr3:uid="{130E4EDB-0D6D-4F09-93C5-6AAF62659F62}" uniqueName="9" name="Step Duration (In Days)" queryTableFieldId="9" dataDxfId="5"/>
    <tableColumn id="10" xr3:uid="{CAA88B67-3D76-436B-A5BE-12ADDEA56070}" uniqueName="10" name="Due Status" queryTableFieldId="10"/>
    <tableColumn id="11" xr3:uid="{90BF7A58-4604-49BE-9E20-440D4BD3953F}" uniqueName="11" name="Due Today" queryTableFieldId="11"/>
    <tableColumn id="12" xr3:uid="{AB1CAA8D-5C4A-4CB6-AC60-74D428E91BE8}" uniqueName="12" name="Due This Week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BEE148-B104-4007-85BD-36915BDE16F3}" name="CAPA_Trend_Summary" displayName="CAPA_Trend_Summary" ref="A2:C5" tableType="queryTable" totalsRowShown="0" headerRowDxfId="22" dataDxfId="21">
  <autoFilter ref="A2:C5" xr:uid="{EABEE148-B104-4007-85BD-36915BDE16F3}"/>
  <sortState xmlns:xlrd2="http://schemas.microsoft.com/office/spreadsheetml/2017/richdata2" ref="A3:C5">
    <sortCondition ref="A2:A5"/>
  </sortState>
  <tableColumns count="3">
    <tableColumn id="1" xr3:uid="{FC014E52-7FF5-4025-A386-F627DD1459E6}" uniqueName="1" name="Snap Shot Date" queryTableFieldId="1" dataDxfId="25"/>
    <tableColumn id="2" xr3:uid="{8584B970-6B78-4B10-8B9A-47C2E400EE9C}" uniqueName="2" name="Total Open" queryTableFieldId="2" dataDxfId="24"/>
    <tableColumn id="3" xr3:uid="{74DE8951-03FD-4359-B5E3-0BFF3DCAB28C}" uniqueName="3" name="Total Past Due" queryTableFieldId="3" dataDxfId="2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0D6D34-7368-4537-8226-61876F324A5E}" name="Deviation_Trend_Summary" displayName="Deviation_Trend_Summary" ref="E2:G6" tableType="queryTable" totalsRowShown="0" headerRowDxfId="27" dataDxfId="26">
  <autoFilter ref="E2:G6" xr:uid="{570D6D34-7368-4537-8226-61876F324A5E}"/>
  <sortState xmlns:xlrd2="http://schemas.microsoft.com/office/spreadsheetml/2017/richdata2" ref="E3:G6">
    <sortCondition ref="E2:E6"/>
  </sortState>
  <tableColumns count="3">
    <tableColumn id="1" xr3:uid="{21706E50-2623-4111-BBD8-65238139803C}" uniqueName="1" name="Snap Shot Date" queryTableFieldId="1" dataDxfId="30"/>
    <tableColumn id="2" xr3:uid="{EA4F91FF-E9FB-4D26-9C98-445ECAB6E15D}" uniqueName="2" name="Total Open" queryTableFieldId="2" dataDxfId="29"/>
    <tableColumn id="3" xr3:uid="{BA04440E-7478-4488-BF0D-02D15B755BA2}" uniqueName="3" name="Total Past Due" queryTableFieldId="3" dataDxfId="2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6F03F7-523C-4055-9031-0DC2B0C595FF}" name="OOS_Trend_Summary" displayName="OOS_Trend_Summary" ref="M2:O6" tableType="queryTable" totalsRowShown="0" headerRowDxfId="17" dataDxfId="16">
  <autoFilter ref="M2:O6" xr:uid="{816F03F7-523C-4055-9031-0DC2B0C595FF}"/>
  <sortState xmlns:xlrd2="http://schemas.microsoft.com/office/spreadsheetml/2017/richdata2" ref="M3:O6">
    <sortCondition ref="M2:M6"/>
  </sortState>
  <tableColumns count="3">
    <tableColumn id="1" xr3:uid="{4FE4C206-6489-4148-A035-883C03FDDE26}" uniqueName="1" name="Snap Shot Date" queryTableFieldId="1" dataDxfId="20"/>
    <tableColumn id="2" xr3:uid="{25D6027A-1B63-4568-95FB-958D67E47BF3}" uniqueName="2" name="Total Open" queryTableFieldId="2" dataDxfId="19"/>
    <tableColumn id="3" xr3:uid="{C7E42867-F997-43E2-B71E-A6BC885BE5CD}" uniqueName="3" name="Total Past Due" queryTableFieldId="3" dataDxfId="1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2427BF-D0D6-4133-8758-60599BD97E33}" name="Event_Trend_Summary" displayName="Event_Trend_Summary" ref="I2:K4" tableType="queryTable" totalsRowShown="0" headerRowDxfId="1" dataDxfId="0">
  <autoFilter ref="I2:K4" xr:uid="{752427BF-D0D6-4133-8758-60599BD97E33}"/>
  <sortState xmlns:xlrd2="http://schemas.microsoft.com/office/spreadsheetml/2017/richdata2" ref="I3:K4">
    <sortCondition ref="I2:I4"/>
  </sortState>
  <tableColumns count="3">
    <tableColumn id="1" xr3:uid="{9A008F7A-8E78-46F9-86B3-ED26106F0724}" uniqueName="1" name="Snap Shot Date" queryTableFieldId="1" dataDxfId="4"/>
    <tableColumn id="2" xr3:uid="{C04E6123-17E6-4B09-8579-73F5993196AC}" uniqueName="2" name="Total Open" queryTableFieldId="2" dataDxfId="3"/>
    <tableColumn id="3" xr3:uid="{0A37ACDF-D329-49BE-A21F-EC02F6B71409}" uniqueName="3" name="Total Past Due" queryTableFieldId="3" dataDxf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9FB665-F5F0-4BEA-A11E-D95AE1A59A35}" name="CAPA_Override_tbl" displayName="CAPA_Override_tbl" ref="A1:E27" totalsRowShown="0">
  <autoFilter ref="A1:E27" xr:uid="{E29FB665-F5F0-4BEA-A11E-D95AE1A59A35}"/>
  <tableColumns count="5">
    <tableColumn id="1" xr3:uid="{4BD8CC75-B9ED-43AB-9D8A-1B1C08487C46}" name="CAPA Owner" dataDxfId="35"/>
    <tableColumn id="2" xr3:uid="{8B09BAF3-055A-451C-B4F7-FC74663FA945}" name="CAPA Number" dataDxfId="34"/>
    <tableColumn id="8" xr3:uid="{DEA4D773-1DCD-4D15-8A89-62F78511B0DC}" name="Title" dataDxfId="33"/>
    <tableColumn id="12" xr3:uid="{BB571EA1-03A4-45BE-8474-F1E8A4A92BCA}" name="T2 Event Location or Site" dataDxfId="32"/>
    <tableColumn id="13" xr3:uid="{813E1BFB-4674-478A-8E56-618746A54D8F}" name="Department" dataDxfId="3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CABE25-D6DD-4EB9-89BD-48E2EACF284B}" name="Deviation_Override_tbl" displayName="Deviation_Override_tbl" ref="A1:C3" totalsRowShown="0">
  <autoFilter ref="A1:C3" xr:uid="{02CABE25-D6DD-4EB9-89BD-48E2EACF284B}"/>
  <tableColumns count="3">
    <tableColumn id="1" xr3:uid="{3BE79BE5-D9F6-4BE5-A352-9D08A7EE6BD8}" name="Deviation Number"/>
    <tableColumn id="3" xr3:uid="{8B339F80-E8AD-4629-BFD6-ECF93401AAA4}" name="T2 Location or Site"/>
    <tableColumn id="12" xr3:uid="{0FA93AF4-7107-4652-8B72-48D58C2569A3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3243-D015-4F67-88CE-6307118806F0}">
  <dimension ref="A1:Z96"/>
  <sheetViews>
    <sheetView workbookViewId="0">
      <selection sqref="A1:Z96"/>
    </sheetView>
  </sheetViews>
  <sheetFormatPr defaultRowHeight="15" x14ac:dyDescent="0.25"/>
  <cols>
    <col min="1" max="1" width="16.7109375" style="1" bestFit="1" customWidth="1"/>
    <col min="2" max="2" width="14.5703125" bestFit="1" customWidth="1"/>
    <col min="3" max="3" width="16" bestFit="1" customWidth="1"/>
    <col min="4" max="4" width="15.7109375" bestFit="1" customWidth="1"/>
    <col min="5" max="5" width="15" style="1" bestFit="1" customWidth="1"/>
    <col min="6" max="6" width="13.7109375" style="1" bestFit="1" customWidth="1"/>
    <col min="7" max="7" width="30.140625" style="3" bestFit="1" customWidth="1"/>
    <col min="8" max="8" width="30.85546875" bestFit="1" customWidth="1"/>
    <col min="9" max="9" width="6.7109375" bestFit="1" customWidth="1"/>
    <col min="10" max="10" width="19.5703125" bestFit="1" customWidth="1"/>
    <col min="11" max="11" width="8.7109375" bestFit="1" customWidth="1"/>
    <col min="12" max="12" width="11.7109375" bestFit="1" customWidth="1"/>
    <col min="13" max="13" width="8.7109375" bestFit="1" customWidth="1"/>
    <col min="14" max="14" width="8.42578125" bestFit="1" customWidth="1"/>
    <col min="15" max="15" width="8.7109375" bestFit="1" customWidth="1"/>
    <col min="16" max="16" width="8.42578125" bestFit="1" customWidth="1"/>
    <col min="17" max="17" width="21.42578125" bestFit="1" customWidth="1"/>
    <col min="18" max="18" width="20.28515625" bestFit="1" customWidth="1"/>
    <col min="19" max="19" width="18.28515625" style="4" bestFit="1" customWidth="1"/>
    <col min="20" max="20" width="22.7109375" bestFit="1" customWidth="1"/>
    <col min="21" max="22" width="27.5703125" bestFit="1" customWidth="1"/>
    <col min="23" max="23" width="24" style="2" bestFit="1" customWidth="1"/>
    <col min="24" max="24" width="12.7109375" bestFit="1" customWidth="1"/>
    <col min="25" max="25" width="12.5703125" bestFit="1" customWidth="1"/>
    <col min="26" max="26" width="16.7109375" bestFit="1" customWidth="1"/>
  </cols>
  <sheetData>
    <row r="1" spans="1:26" x14ac:dyDescent="0.25">
      <c r="A1" s="1" t="s">
        <v>520</v>
      </c>
      <c r="B1" t="s">
        <v>51</v>
      </c>
      <c r="C1" t="s">
        <v>52</v>
      </c>
      <c r="D1" t="s">
        <v>605</v>
      </c>
      <c r="E1" s="1" t="s">
        <v>53</v>
      </c>
      <c r="F1" s="1" t="s">
        <v>54</v>
      </c>
      <c r="G1" s="3" t="s">
        <v>606</v>
      </c>
      <c r="H1" t="s">
        <v>1</v>
      </c>
      <c r="I1" t="s">
        <v>607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5</v>
      </c>
      <c r="R1" t="s">
        <v>4</v>
      </c>
      <c r="S1" s="4" t="s">
        <v>63</v>
      </c>
      <c r="T1" t="s">
        <v>64</v>
      </c>
      <c r="U1" t="s">
        <v>65</v>
      </c>
      <c r="V1" t="s">
        <v>66</v>
      </c>
      <c r="W1" t="s">
        <v>515</v>
      </c>
      <c r="X1" t="s">
        <v>516</v>
      </c>
      <c r="Y1" t="s">
        <v>49</v>
      </c>
      <c r="Z1" t="s">
        <v>50</v>
      </c>
    </row>
    <row r="2" spans="1:26" x14ac:dyDescent="0.25">
      <c r="A2" s="1">
        <v>46267</v>
      </c>
      <c r="B2" t="s">
        <v>495</v>
      </c>
      <c r="C2" t="s">
        <v>222</v>
      </c>
      <c r="D2" t="s">
        <v>68</v>
      </c>
      <c r="E2" s="1">
        <v>44351</v>
      </c>
      <c r="F2" s="1">
        <v>44473</v>
      </c>
      <c r="G2" s="3">
        <v>16</v>
      </c>
      <c r="H2" t="s">
        <v>69</v>
      </c>
      <c r="I2" t="s">
        <v>70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71</v>
      </c>
      <c r="R2" t="s">
        <v>72</v>
      </c>
      <c r="S2" s="4">
        <v>45930</v>
      </c>
      <c r="T2" t="s">
        <v>67</v>
      </c>
      <c r="U2" t="s">
        <v>67</v>
      </c>
      <c r="V2" t="s">
        <v>67</v>
      </c>
      <c r="W2" s="2">
        <v>337</v>
      </c>
      <c r="X2" t="s">
        <v>518</v>
      </c>
      <c r="Y2" t="b">
        <v>1</v>
      </c>
      <c r="Z2" t="b">
        <v>0</v>
      </c>
    </row>
    <row r="3" spans="1:26" x14ac:dyDescent="0.25">
      <c r="A3" s="1">
        <v>46267</v>
      </c>
      <c r="B3" t="s">
        <v>90</v>
      </c>
      <c r="C3" t="s">
        <v>291</v>
      </c>
      <c r="D3" t="s">
        <v>67</v>
      </c>
      <c r="E3" s="1">
        <v>46122</v>
      </c>
      <c r="F3" s="1">
        <v>46244</v>
      </c>
      <c r="G3" s="3">
        <v>0</v>
      </c>
      <c r="H3" t="s">
        <v>74</v>
      </c>
      <c r="I3" t="s">
        <v>70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101</v>
      </c>
      <c r="R3" t="s">
        <v>85</v>
      </c>
      <c r="S3" s="4">
        <v>46203</v>
      </c>
      <c r="T3" t="s">
        <v>67</v>
      </c>
      <c r="U3" t="s">
        <v>67</v>
      </c>
      <c r="V3" t="s">
        <v>67</v>
      </c>
      <c r="W3" s="2">
        <v>64</v>
      </c>
      <c r="X3" t="s">
        <v>518</v>
      </c>
      <c r="Y3" t="b">
        <v>1</v>
      </c>
      <c r="Z3" t="b">
        <v>0</v>
      </c>
    </row>
    <row r="4" spans="1:26" x14ac:dyDescent="0.25">
      <c r="A4" s="1">
        <v>46267</v>
      </c>
      <c r="B4" t="s">
        <v>96</v>
      </c>
      <c r="C4" t="s">
        <v>292</v>
      </c>
      <c r="D4" t="s">
        <v>196</v>
      </c>
      <c r="E4" s="1">
        <v>46122</v>
      </c>
      <c r="F4" s="1">
        <v>46244</v>
      </c>
      <c r="G4" s="3">
        <v>2</v>
      </c>
      <c r="H4" t="s">
        <v>69</v>
      </c>
      <c r="I4" t="s">
        <v>70</v>
      </c>
      <c r="J4" t="s">
        <v>67</v>
      </c>
      <c r="K4" t="s">
        <v>67</v>
      </c>
      <c r="L4" t="s">
        <v>67</v>
      </c>
      <c r="M4" t="s">
        <v>67</v>
      </c>
      <c r="N4" t="s">
        <v>67</v>
      </c>
      <c r="O4" t="s">
        <v>67</v>
      </c>
      <c r="P4" t="s">
        <v>67</v>
      </c>
      <c r="Q4" t="s">
        <v>97</v>
      </c>
      <c r="R4" t="s">
        <v>72</v>
      </c>
      <c r="S4" s="4">
        <v>46306</v>
      </c>
      <c r="T4" t="s">
        <v>67</v>
      </c>
      <c r="U4" t="s">
        <v>67</v>
      </c>
      <c r="V4" t="s">
        <v>67</v>
      </c>
      <c r="W4" s="2">
        <v>-39</v>
      </c>
      <c r="X4" t="s">
        <v>517</v>
      </c>
      <c r="Y4" t="b">
        <v>0</v>
      </c>
      <c r="Z4" t="b">
        <v>0</v>
      </c>
    </row>
    <row r="5" spans="1:26" x14ac:dyDescent="0.25">
      <c r="A5" s="1">
        <v>46267</v>
      </c>
      <c r="B5" t="s">
        <v>497</v>
      </c>
      <c r="C5" t="s">
        <v>293</v>
      </c>
      <c r="D5" t="s">
        <v>67</v>
      </c>
      <c r="E5" s="1">
        <v>46135</v>
      </c>
      <c r="F5" s="1">
        <v>46257</v>
      </c>
      <c r="G5" s="3">
        <v>1</v>
      </c>
      <c r="H5" t="s">
        <v>69</v>
      </c>
      <c r="I5" t="s">
        <v>70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  <c r="Q5" t="s">
        <v>508</v>
      </c>
      <c r="R5" t="s">
        <v>76</v>
      </c>
      <c r="S5" s="4">
        <v>46262</v>
      </c>
      <c r="T5" t="s">
        <v>67</v>
      </c>
      <c r="U5" t="s">
        <v>67</v>
      </c>
      <c r="V5" t="s">
        <v>67</v>
      </c>
      <c r="W5" s="2">
        <v>5</v>
      </c>
      <c r="X5" t="s">
        <v>518</v>
      </c>
      <c r="Y5" t="b">
        <v>1</v>
      </c>
      <c r="Z5" t="b">
        <v>0</v>
      </c>
    </row>
    <row r="6" spans="1:26" x14ac:dyDescent="0.25">
      <c r="A6" s="1">
        <v>46267</v>
      </c>
      <c r="B6" t="s">
        <v>197</v>
      </c>
      <c r="C6" t="s">
        <v>294</v>
      </c>
      <c r="D6" t="s">
        <v>67</v>
      </c>
      <c r="E6" s="1">
        <v>46139</v>
      </c>
      <c r="F6" s="1">
        <v>46261</v>
      </c>
      <c r="G6" s="3">
        <v>0</v>
      </c>
      <c r="H6" t="s">
        <v>83</v>
      </c>
      <c r="I6" t="s">
        <v>70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71</v>
      </c>
      <c r="R6" t="s">
        <v>72</v>
      </c>
      <c r="S6" s="4">
        <v>46262</v>
      </c>
      <c r="T6" t="s">
        <v>67</v>
      </c>
      <c r="U6" t="s">
        <v>67</v>
      </c>
      <c r="V6" t="s">
        <v>67</v>
      </c>
      <c r="W6" s="2">
        <v>5</v>
      </c>
      <c r="X6" t="s">
        <v>518</v>
      </c>
      <c r="Y6" t="b">
        <v>1</v>
      </c>
      <c r="Z6" t="b">
        <v>0</v>
      </c>
    </row>
    <row r="7" spans="1:26" x14ac:dyDescent="0.25">
      <c r="A7" s="1">
        <v>46267</v>
      </c>
      <c r="B7" t="s">
        <v>155</v>
      </c>
      <c r="C7" t="s">
        <v>295</v>
      </c>
      <c r="D7" t="s">
        <v>67</v>
      </c>
      <c r="E7" s="1">
        <v>46169</v>
      </c>
      <c r="F7" s="1">
        <v>46291</v>
      </c>
      <c r="G7" s="3">
        <v>1</v>
      </c>
      <c r="H7" t="s">
        <v>80</v>
      </c>
      <c r="I7" t="s">
        <v>70</v>
      </c>
      <c r="J7" t="s">
        <v>95</v>
      </c>
      <c r="K7" t="s">
        <v>199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101</v>
      </c>
      <c r="R7" t="s">
        <v>72</v>
      </c>
      <c r="S7" s="4">
        <v>46477</v>
      </c>
      <c r="T7" t="s">
        <v>67</v>
      </c>
      <c r="U7" t="s">
        <v>67</v>
      </c>
      <c r="V7" t="s">
        <v>67</v>
      </c>
      <c r="W7" s="2">
        <v>-210</v>
      </c>
      <c r="X7" t="s">
        <v>517</v>
      </c>
      <c r="Y7" t="b">
        <v>0</v>
      </c>
      <c r="Z7" t="b">
        <v>0</v>
      </c>
    </row>
    <row r="8" spans="1:26" x14ac:dyDescent="0.25">
      <c r="A8" s="1">
        <v>46267</v>
      </c>
      <c r="B8" t="s">
        <v>152</v>
      </c>
      <c r="C8" t="s">
        <v>296</v>
      </c>
      <c r="D8" t="s">
        <v>200</v>
      </c>
      <c r="E8" s="1">
        <v>46169</v>
      </c>
      <c r="F8" s="1">
        <v>46291</v>
      </c>
      <c r="G8" s="3">
        <v>1</v>
      </c>
      <c r="H8" t="s">
        <v>83</v>
      </c>
      <c r="I8" t="s">
        <v>70</v>
      </c>
      <c r="J8" t="s">
        <v>67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88</v>
      </c>
      <c r="R8" t="s">
        <v>81</v>
      </c>
      <c r="S8" s="4">
        <v>46281</v>
      </c>
      <c r="T8" t="s">
        <v>67</v>
      </c>
      <c r="U8" t="s">
        <v>67</v>
      </c>
      <c r="V8" t="s">
        <v>67</v>
      </c>
      <c r="W8" s="2">
        <v>-14</v>
      </c>
      <c r="X8" t="s">
        <v>517</v>
      </c>
      <c r="Y8" t="b">
        <v>0</v>
      </c>
      <c r="Z8" t="b">
        <v>0</v>
      </c>
    </row>
    <row r="9" spans="1:26" x14ac:dyDescent="0.25">
      <c r="A9" s="1">
        <v>46267</v>
      </c>
      <c r="B9" t="s">
        <v>178</v>
      </c>
      <c r="C9" t="s">
        <v>298</v>
      </c>
      <c r="D9" t="s">
        <v>67</v>
      </c>
      <c r="E9" s="1">
        <v>46177</v>
      </c>
      <c r="F9" s="1">
        <v>46299</v>
      </c>
      <c r="G9" s="3">
        <v>1</v>
      </c>
      <c r="H9" t="s">
        <v>93</v>
      </c>
      <c r="I9" t="s">
        <v>70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84</v>
      </c>
      <c r="R9" t="s">
        <v>72</v>
      </c>
      <c r="S9" s="4">
        <v>46295</v>
      </c>
      <c r="T9" t="s">
        <v>67</v>
      </c>
      <c r="U9" t="s">
        <v>67</v>
      </c>
      <c r="V9" t="s">
        <v>67</v>
      </c>
      <c r="W9" s="2">
        <v>-28</v>
      </c>
      <c r="X9" t="s">
        <v>517</v>
      </c>
      <c r="Y9" t="b">
        <v>0</v>
      </c>
      <c r="Z9" t="b">
        <v>0</v>
      </c>
    </row>
    <row r="10" spans="1:26" x14ac:dyDescent="0.25">
      <c r="A10" s="1">
        <v>46267</v>
      </c>
      <c r="B10" t="s">
        <v>122</v>
      </c>
      <c r="C10" t="s">
        <v>299</v>
      </c>
      <c r="D10" t="s">
        <v>67</v>
      </c>
      <c r="E10" s="1">
        <v>46182</v>
      </c>
      <c r="F10" s="1">
        <v>46304</v>
      </c>
      <c r="G10" s="3">
        <v>0</v>
      </c>
      <c r="H10" t="s">
        <v>89</v>
      </c>
      <c r="I10" t="s">
        <v>70</v>
      </c>
      <c r="J10" t="s">
        <v>67</v>
      </c>
      <c r="K10" t="s">
        <v>67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84</v>
      </c>
      <c r="R10" t="s">
        <v>91</v>
      </c>
      <c r="S10" s="4">
        <v>46290</v>
      </c>
      <c r="T10" t="s">
        <v>67</v>
      </c>
      <c r="U10" t="s">
        <v>67</v>
      </c>
      <c r="V10" t="s">
        <v>67</v>
      </c>
      <c r="W10" s="2">
        <v>-23</v>
      </c>
      <c r="X10" t="s">
        <v>517</v>
      </c>
      <c r="Y10" t="b">
        <v>0</v>
      </c>
      <c r="Z10" t="b">
        <v>0</v>
      </c>
    </row>
    <row r="11" spans="1:26" x14ac:dyDescent="0.25">
      <c r="A11" s="1">
        <v>46267</v>
      </c>
      <c r="B11" t="s">
        <v>98</v>
      </c>
      <c r="C11" t="s">
        <v>297</v>
      </c>
      <c r="D11" t="s">
        <v>67</v>
      </c>
      <c r="E11" s="1">
        <v>46170</v>
      </c>
      <c r="F11" s="1">
        <v>46292</v>
      </c>
      <c r="G11" s="3">
        <v>1</v>
      </c>
      <c r="H11" t="s">
        <v>83</v>
      </c>
      <c r="I11" t="s">
        <v>70</v>
      </c>
      <c r="J11" t="s">
        <v>67</v>
      </c>
      <c r="K11" t="s">
        <v>67</v>
      </c>
      <c r="L11" t="s">
        <v>67</v>
      </c>
      <c r="M11" t="s">
        <v>67</v>
      </c>
      <c r="N11" t="s">
        <v>67</v>
      </c>
      <c r="O11" t="s">
        <v>67</v>
      </c>
      <c r="P11" t="s">
        <v>67</v>
      </c>
      <c r="Q11" t="s">
        <v>97</v>
      </c>
      <c r="R11" t="s">
        <v>85</v>
      </c>
      <c r="S11" s="4">
        <v>46418</v>
      </c>
      <c r="T11" t="s">
        <v>67</v>
      </c>
      <c r="U11" t="s">
        <v>67</v>
      </c>
      <c r="V11" t="s">
        <v>67</v>
      </c>
      <c r="W11" s="2">
        <v>-151</v>
      </c>
      <c r="X11" t="s">
        <v>517</v>
      </c>
      <c r="Y11" t="b">
        <v>0</v>
      </c>
      <c r="Z11" t="b">
        <v>0</v>
      </c>
    </row>
    <row r="12" spans="1:26" x14ac:dyDescent="0.25">
      <c r="A12" s="1">
        <v>46267</v>
      </c>
      <c r="B12" t="s">
        <v>17</v>
      </c>
      <c r="C12" t="s">
        <v>290</v>
      </c>
      <c r="D12" t="s">
        <v>67</v>
      </c>
      <c r="E12" s="1">
        <v>46112</v>
      </c>
      <c r="F12" s="1">
        <v>46234</v>
      </c>
      <c r="G12" s="3">
        <v>0</v>
      </c>
      <c r="H12" t="s">
        <v>74</v>
      </c>
      <c r="I12" t="s">
        <v>70</v>
      </c>
      <c r="J12" t="s">
        <v>67</v>
      </c>
      <c r="K12" t="s">
        <v>67</v>
      </c>
      <c r="L12" t="s">
        <v>67</v>
      </c>
      <c r="M12" t="s">
        <v>67</v>
      </c>
      <c r="N12" t="s">
        <v>67</v>
      </c>
      <c r="O12" t="s">
        <v>67</v>
      </c>
      <c r="P12" t="s">
        <v>67</v>
      </c>
      <c r="Q12" t="s">
        <v>75</v>
      </c>
      <c r="R12" t="s">
        <v>91</v>
      </c>
      <c r="S12" s="4">
        <v>46251</v>
      </c>
      <c r="T12" t="s">
        <v>67</v>
      </c>
      <c r="U12" t="s">
        <v>67</v>
      </c>
      <c r="V12" t="s">
        <v>67</v>
      </c>
      <c r="W12" s="2">
        <v>16</v>
      </c>
      <c r="X12" t="s">
        <v>518</v>
      </c>
      <c r="Y12" t="b">
        <v>1</v>
      </c>
      <c r="Z12" t="b">
        <v>0</v>
      </c>
    </row>
    <row r="13" spans="1:26" x14ac:dyDescent="0.25">
      <c r="A13" s="1">
        <v>46267</v>
      </c>
      <c r="B13" t="s">
        <v>194</v>
      </c>
      <c r="C13" t="s">
        <v>289</v>
      </c>
      <c r="D13" t="s">
        <v>67</v>
      </c>
      <c r="E13" s="1">
        <v>46111</v>
      </c>
      <c r="F13" s="1">
        <v>46233</v>
      </c>
      <c r="G13" s="3">
        <v>0</v>
      </c>
      <c r="H13" t="s">
        <v>74</v>
      </c>
      <c r="I13" t="s">
        <v>70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84</v>
      </c>
      <c r="R13" t="s">
        <v>85</v>
      </c>
      <c r="S13" s="4">
        <v>46306</v>
      </c>
      <c r="T13" t="s">
        <v>67</v>
      </c>
      <c r="U13" t="s">
        <v>67</v>
      </c>
      <c r="V13" t="s">
        <v>67</v>
      </c>
      <c r="W13" s="2">
        <v>-39</v>
      </c>
      <c r="X13" t="s">
        <v>517</v>
      </c>
      <c r="Y13" t="b">
        <v>0</v>
      </c>
      <c r="Z13" t="b">
        <v>0</v>
      </c>
    </row>
    <row r="14" spans="1:26" x14ac:dyDescent="0.25">
      <c r="A14" s="1">
        <v>46267</v>
      </c>
      <c r="B14" t="s">
        <v>25</v>
      </c>
      <c r="C14" t="s">
        <v>271</v>
      </c>
      <c r="D14" t="s">
        <v>181</v>
      </c>
      <c r="E14" s="1">
        <v>46057</v>
      </c>
      <c r="F14" s="1">
        <v>46179</v>
      </c>
      <c r="G14" s="3">
        <v>0</v>
      </c>
      <c r="H14" t="s">
        <v>69</v>
      </c>
      <c r="I14" t="s">
        <v>70</v>
      </c>
      <c r="J14" t="s">
        <v>67</v>
      </c>
      <c r="K14" t="s">
        <v>67</v>
      </c>
      <c r="L14" t="s">
        <v>67</v>
      </c>
      <c r="M14" t="s">
        <v>67</v>
      </c>
      <c r="N14" t="s">
        <v>67</v>
      </c>
      <c r="O14" t="s">
        <v>67</v>
      </c>
      <c r="P14" t="s">
        <v>67</v>
      </c>
      <c r="Q14" t="s">
        <v>75</v>
      </c>
      <c r="R14" t="s">
        <v>72</v>
      </c>
      <c r="S14" s="4">
        <v>46254</v>
      </c>
      <c r="T14" t="s">
        <v>67</v>
      </c>
      <c r="U14" t="s">
        <v>67</v>
      </c>
      <c r="V14" t="s">
        <v>67</v>
      </c>
      <c r="W14" s="2">
        <v>13</v>
      </c>
      <c r="X14" t="s">
        <v>518</v>
      </c>
      <c r="Y14" t="b">
        <v>1</v>
      </c>
      <c r="Z14" t="b">
        <v>0</v>
      </c>
    </row>
    <row r="15" spans="1:26" x14ac:dyDescent="0.25">
      <c r="A15" s="1">
        <v>46267</v>
      </c>
      <c r="B15" t="s">
        <v>469</v>
      </c>
      <c r="C15" t="s">
        <v>272</v>
      </c>
      <c r="D15" t="s">
        <v>67</v>
      </c>
      <c r="E15" s="1">
        <v>46059</v>
      </c>
      <c r="F15" s="1">
        <v>46181</v>
      </c>
      <c r="G15" s="3">
        <v>0</v>
      </c>
      <c r="H15" t="s">
        <v>475</v>
      </c>
      <c r="I15" t="s">
        <v>70</v>
      </c>
      <c r="J15" t="s">
        <v>67</v>
      </c>
      <c r="K15" t="s">
        <v>67</v>
      </c>
      <c r="L15" t="s">
        <v>67</v>
      </c>
      <c r="M15" t="s">
        <v>67</v>
      </c>
      <c r="N15" t="s">
        <v>67</v>
      </c>
      <c r="O15" t="s">
        <v>67</v>
      </c>
      <c r="P15" t="s">
        <v>67</v>
      </c>
      <c r="Q15" t="s">
        <v>481</v>
      </c>
      <c r="R15" t="s">
        <v>91</v>
      </c>
      <c r="S15" s="4">
        <v>46079</v>
      </c>
      <c r="T15" t="s">
        <v>67</v>
      </c>
      <c r="U15" t="s">
        <v>67</v>
      </c>
      <c r="V15" t="s">
        <v>67</v>
      </c>
      <c r="W15" s="2">
        <v>188</v>
      </c>
      <c r="X15" t="s">
        <v>518</v>
      </c>
      <c r="Y15" t="b">
        <v>1</v>
      </c>
      <c r="Z15" t="b">
        <v>0</v>
      </c>
    </row>
    <row r="16" spans="1:26" x14ac:dyDescent="0.25">
      <c r="A16" s="1">
        <v>46267</v>
      </c>
      <c r="B16" t="s">
        <v>470</v>
      </c>
      <c r="C16" t="s">
        <v>274</v>
      </c>
      <c r="D16" t="s">
        <v>182</v>
      </c>
      <c r="E16" s="1">
        <v>46064</v>
      </c>
      <c r="F16" s="1">
        <v>46186</v>
      </c>
      <c r="G16" s="3">
        <v>1</v>
      </c>
      <c r="H16" t="s">
        <v>476</v>
      </c>
      <c r="I16" t="s">
        <v>70</v>
      </c>
      <c r="J16" t="s">
        <v>67</v>
      </c>
      <c r="K16" t="s">
        <v>67</v>
      </c>
      <c r="L16" t="s">
        <v>67</v>
      </c>
      <c r="M16" t="s">
        <v>67</v>
      </c>
      <c r="N16" t="s">
        <v>67</v>
      </c>
      <c r="O16" t="s">
        <v>67</v>
      </c>
      <c r="P16" t="s">
        <v>67</v>
      </c>
      <c r="Q16" t="s">
        <v>482</v>
      </c>
      <c r="R16" t="s">
        <v>72</v>
      </c>
      <c r="S16" s="4">
        <v>46084</v>
      </c>
      <c r="T16" t="s">
        <v>67</v>
      </c>
      <c r="U16" t="s">
        <v>67</v>
      </c>
      <c r="V16" t="s">
        <v>67</v>
      </c>
      <c r="W16" s="2">
        <v>183</v>
      </c>
      <c r="X16" t="s">
        <v>518</v>
      </c>
      <c r="Y16" t="b">
        <v>1</v>
      </c>
      <c r="Z16" t="b">
        <v>0</v>
      </c>
    </row>
    <row r="17" spans="1:26" x14ac:dyDescent="0.25">
      <c r="A17" s="1">
        <v>46267</v>
      </c>
      <c r="B17" t="s">
        <v>178</v>
      </c>
      <c r="C17" t="s">
        <v>281</v>
      </c>
      <c r="D17" t="s">
        <v>67</v>
      </c>
      <c r="E17" s="1">
        <v>46070</v>
      </c>
      <c r="F17" s="1">
        <v>46192</v>
      </c>
      <c r="G17" s="3">
        <v>0</v>
      </c>
      <c r="H17" t="s">
        <v>83</v>
      </c>
      <c r="I17" t="s">
        <v>70</v>
      </c>
      <c r="J17" t="s">
        <v>67</v>
      </c>
      <c r="K17" t="s">
        <v>67</v>
      </c>
      <c r="L17" t="s">
        <v>67</v>
      </c>
      <c r="M17" t="s">
        <v>67</v>
      </c>
      <c r="N17" t="s">
        <v>67</v>
      </c>
      <c r="O17" t="s">
        <v>67</v>
      </c>
      <c r="P17" t="s">
        <v>67</v>
      </c>
      <c r="Q17" t="s">
        <v>97</v>
      </c>
      <c r="R17" t="s">
        <v>72</v>
      </c>
      <c r="S17" s="4">
        <v>46194</v>
      </c>
      <c r="T17" t="s">
        <v>67</v>
      </c>
      <c r="U17" t="s">
        <v>67</v>
      </c>
      <c r="V17" t="s">
        <v>67</v>
      </c>
      <c r="W17" s="2">
        <v>73</v>
      </c>
      <c r="X17" t="s">
        <v>518</v>
      </c>
      <c r="Y17" t="b">
        <v>1</v>
      </c>
      <c r="Z17" t="b">
        <v>0</v>
      </c>
    </row>
    <row r="18" spans="1:26" x14ac:dyDescent="0.25">
      <c r="A18" s="1">
        <v>46267</v>
      </c>
      <c r="B18" t="s">
        <v>25</v>
      </c>
      <c r="C18" t="s">
        <v>282</v>
      </c>
      <c r="D18" t="s">
        <v>67</v>
      </c>
      <c r="E18" s="1">
        <v>46070</v>
      </c>
      <c r="F18" s="1">
        <v>46192</v>
      </c>
      <c r="G18" s="3">
        <v>2</v>
      </c>
      <c r="H18" t="s">
        <v>89</v>
      </c>
      <c r="I18" t="s">
        <v>70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67</v>
      </c>
      <c r="Q18" t="s">
        <v>88</v>
      </c>
      <c r="R18" t="s">
        <v>85</v>
      </c>
      <c r="S18" s="4">
        <v>46269</v>
      </c>
      <c r="T18" t="s">
        <v>67</v>
      </c>
      <c r="U18" t="s">
        <v>67</v>
      </c>
      <c r="V18" t="s">
        <v>67</v>
      </c>
      <c r="W18" s="2">
        <v>-2</v>
      </c>
      <c r="X18" t="s">
        <v>517</v>
      </c>
      <c r="Y18" t="b">
        <v>0</v>
      </c>
      <c r="Z18" t="b">
        <v>1</v>
      </c>
    </row>
    <row r="19" spans="1:26" x14ac:dyDescent="0.25">
      <c r="A19" s="1">
        <v>46267</v>
      </c>
      <c r="B19" t="s">
        <v>17</v>
      </c>
      <c r="C19" t="s">
        <v>283</v>
      </c>
      <c r="D19" t="s">
        <v>185</v>
      </c>
      <c r="E19" s="1">
        <v>46071</v>
      </c>
      <c r="F19" s="1">
        <v>46193</v>
      </c>
      <c r="G19" s="3">
        <v>0</v>
      </c>
      <c r="H19" t="s">
        <v>74</v>
      </c>
      <c r="I19" t="s">
        <v>70</v>
      </c>
      <c r="J19" t="s">
        <v>67</v>
      </c>
      <c r="K19" t="s">
        <v>67</v>
      </c>
      <c r="L19" t="s">
        <v>67</v>
      </c>
      <c r="M19" t="s">
        <v>67</v>
      </c>
      <c r="N19" t="s">
        <v>67</v>
      </c>
      <c r="O19" t="s">
        <v>67</v>
      </c>
      <c r="P19" t="s">
        <v>67</v>
      </c>
      <c r="Q19" t="s">
        <v>71</v>
      </c>
      <c r="R19" t="s">
        <v>81</v>
      </c>
      <c r="S19" s="4">
        <v>46165</v>
      </c>
      <c r="T19" t="s">
        <v>67</v>
      </c>
      <c r="U19" t="s">
        <v>67</v>
      </c>
      <c r="V19" t="s">
        <v>67</v>
      </c>
      <c r="W19" s="2">
        <v>102</v>
      </c>
      <c r="X19" t="s">
        <v>518</v>
      </c>
      <c r="Y19" t="b">
        <v>1</v>
      </c>
      <c r="Z19" t="b">
        <v>0</v>
      </c>
    </row>
    <row r="20" spans="1:26" x14ac:dyDescent="0.25">
      <c r="A20" s="1">
        <v>46267</v>
      </c>
      <c r="B20" t="s">
        <v>186</v>
      </c>
      <c r="C20" t="s">
        <v>284</v>
      </c>
      <c r="D20" t="s">
        <v>67</v>
      </c>
      <c r="E20" s="1">
        <v>46077</v>
      </c>
      <c r="F20" s="1">
        <v>46199</v>
      </c>
      <c r="G20" s="3">
        <v>2</v>
      </c>
      <c r="H20" t="s">
        <v>93</v>
      </c>
      <c r="I20" t="s">
        <v>70</v>
      </c>
      <c r="J20" t="s">
        <v>67</v>
      </c>
      <c r="K20" t="s">
        <v>67</v>
      </c>
      <c r="L20" t="s">
        <v>67</v>
      </c>
      <c r="M20" t="s">
        <v>67</v>
      </c>
      <c r="N20" t="s">
        <v>67</v>
      </c>
      <c r="O20" t="s">
        <v>67</v>
      </c>
      <c r="P20" t="s">
        <v>67</v>
      </c>
      <c r="Q20" t="s">
        <v>101</v>
      </c>
      <c r="R20" t="s">
        <v>91</v>
      </c>
      <c r="S20" s="4">
        <v>46290</v>
      </c>
      <c r="T20" t="s">
        <v>67</v>
      </c>
      <c r="U20" t="s">
        <v>67</v>
      </c>
      <c r="V20" t="s">
        <v>67</v>
      </c>
      <c r="W20" s="2">
        <v>-23</v>
      </c>
      <c r="X20" t="s">
        <v>517</v>
      </c>
      <c r="Y20" t="b">
        <v>0</v>
      </c>
      <c r="Z20" t="b">
        <v>0</v>
      </c>
    </row>
    <row r="21" spans="1:26" x14ac:dyDescent="0.25">
      <c r="A21" s="1">
        <v>46267</v>
      </c>
      <c r="B21" t="s">
        <v>186</v>
      </c>
      <c r="C21" t="s">
        <v>285</v>
      </c>
      <c r="D21" t="s">
        <v>67</v>
      </c>
      <c r="E21" s="1">
        <v>46092</v>
      </c>
      <c r="F21" s="1">
        <v>46214</v>
      </c>
      <c r="G21" s="3">
        <v>2</v>
      </c>
      <c r="H21" t="s">
        <v>74</v>
      </c>
      <c r="I21" t="s">
        <v>70</v>
      </c>
      <c r="J21" t="s">
        <v>187</v>
      </c>
      <c r="K21" t="s">
        <v>188</v>
      </c>
      <c r="L21" t="s">
        <v>189</v>
      </c>
      <c r="M21" t="s">
        <v>67</v>
      </c>
      <c r="N21" t="s">
        <v>67</v>
      </c>
      <c r="O21" t="s">
        <v>67</v>
      </c>
      <c r="P21" t="s">
        <v>67</v>
      </c>
      <c r="Q21" t="s">
        <v>97</v>
      </c>
      <c r="R21" t="s">
        <v>81</v>
      </c>
      <c r="S21" s="4">
        <v>46265</v>
      </c>
      <c r="T21" t="s">
        <v>67</v>
      </c>
      <c r="U21" t="s">
        <v>161</v>
      </c>
      <c r="V21" t="s">
        <v>67</v>
      </c>
      <c r="W21" s="2">
        <v>2</v>
      </c>
      <c r="X21" t="s">
        <v>518</v>
      </c>
      <c r="Y21" t="b">
        <v>1</v>
      </c>
      <c r="Z21" t="b">
        <v>0</v>
      </c>
    </row>
    <row r="22" spans="1:26" x14ac:dyDescent="0.25">
      <c r="A22" s="1">
        <v>46267</v>
      </c>
      <c r="B22" t="s">
        <v>190</v>
      </c>
      <c r="C22" t="s">
        <v>286</v>
      </c>
      <c r="D22" t="s">
        <v>67</v>
      </c>
      <c r="E22" s="1">
        <v>46104</v>
      </c>
      <c r="F22" s="1">
        <v>46226</v>
      </c>
      <c r="G22" s="3">
        <v>1</v>
      </c>
      <c r="H22" t="s">
        <v>69</v>
      </c>
      <c r="I22" t="s">
        <v>70</v>
      </c>
      <c r="J22" t="s">
        <v>95</v>
      </c>
      <c r="K22" t="s">
        <v>191</v>
      </c>
      <c r="L22" t="s">
        <v>67</v>
      </c>
      <c r="M22" t="s">
        <v>67</v>
      </c>
      <c r="N22" t="s">
        <v>67</v>
      </c>
      <c r="O22" t="s">
        <v>67</v>
      </c>
      <c r="P22" t="s">
        <v>67</v>
      </c>
      <c r="Q22" t="s">
        <v>101</v>
      </c>
      <c r="R22" t="s">
        <v>85</v>
      </c>
      <c r="S22" s="4">
        <v>46203</v>
      </c>
      <c r="T22" t="s">
        <v>67</v>
      </c>
      <c r="U22" t="s">
        <v>67</v>
      </c>
      <c r="V22" t="s">
        <v>67</v>
      </c>
      <c r="W22" s="2">
        <v>64</v>
      </c>
      <c r="X22" t="s">
        <v>518</v>
      </c>
      <c r="Y22" t="b">
        <v>1</v>
      </c>
      <c r="Z22" t="b">
        <v>0</v>
      </c>
    </row>
    <row r="23" spans="1:26" x14ac:dyDescent="0.25">
      <c r="A23" s="1">
        <v>46267</v>
      </c>
      <c r="B23" t="s">
        <v>148</v>
      </c>
      <c r="C23" t="s">
        <v>287</v>
      </c>
      <c r="D23" t="s">
        <v>67</v>
      </c>
      <c r="E23" s="1">
        <v>46108</v>
      </c>
      <c r="F23" s="1">
        <v>46230</v>
      </c>
      <c r="G23" s="3">
        <v>0</v>
      </c>
      <c r="H23" t="s">
        <v>80</v>
      </c>
      <c r="I23" t="s">
        <v>70</v>
      </c>
      <c r="J23" t="s">
        <v>160</v>
      </c>
      <c r="K23" t="s">
        <v>192</v>
      </c>
      <c r="L23" t="s">
        <v>193</v>
      </c>
      <c r="M23" t="s">
        <v>67</v>
      </c>
      <c r="N23" t="s">
        <v>67</v>
      </c>
      <c r="O23" t="s">
        <v>67</v>
      </c>
      <c r="P23" t="s">
        <v>67</v>
      </c>
      <c r="Q23" t="s">
        <v>75</v>
      </c>
      <c r="R23" t="s">
        <v>72</v>
      </c>
      <c r="S23" s="4">
        <v>46193</v>
      </c>
      <c r="T23" t="s">
        <v>67</v>
      </c>
      <c r="U23" t="s">
        <v>67</v>
      </c>
      <c r="V23" t="s">
        <v>67</v>
      </c>
      <c r="W23" s="2">
        <v>74</v>
      </c>
      <c r="X23" t="s">
        <v>518</v>
      </c>
      <c r="Y23" t="b">
        <v>1</v>
      </c>
      <c r="Z23" t="b">
        <v>0</v>
      </c>
    </row>
    <row r="24" spans="1:26" x14ac:dyDescent="0.25">
      <c r="A24" s="1">
        <v>46267</v>
      </c>
      <c r="B24" t="s">
        <v>145</v>
      </c>
      <c r="C24" t="s">
        <v>288</v>
      </c>
      <c r="D24" t="s">
        <v>67</v>
      </c>
      <c r="E24" s="1">
        <v>46108</v>
      </c>
      <c r="F24" s="1">
        <v>46230</v>
      </c>
      <c r="G24" s="3">
        <v>0</v>
      </c>
      <c r="H24" t="s">
        <v>93</v>
      </c>
      <c r="I24" t="s">
        <v>70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67</v>
      </c>
      <c r="Q24" t="s">
        <v>71</v>
      </c>
      <c r="R24" t="s">
        <v>72</v>
      </c>
      <c r="S24" s="4">
        <v>46223</v>
      </c>
      <c r="T24" t="s">
        <v>67</v>
      </c>
      <c r="U24" t="s">
        <v>67</v>
      </c>
      <c r="V24" t="s">
        <v>67</v>
      </c>
      <c r="W24" s="2">
        <v>44</v>
      </c>
      <c r="X24" t="s">
        <v>518</v>
      </c>
      <c r="Y24" t="b">
        <v>1</v>
      </c>
      <c r="Z24" t="b">
        <v>0</v>
      </c>
    </row>
    <row r="25" spans="1:26" x14ac:dyDescent="0.25">
      <c r="A25" s="1">
        <v>46267</v>
      </c>
      <c r="B25" t="s">
        <v>183</v>
      </c>
      <c r="C25" t="s">
        <v>280</v>
      </c>
      <c r="D25" t="s">
        <v>184</v>
      </c>
      <c r="E25" s="1">
        <v>46069</v>
      </c>
      <c r="F25" s="1">
        <v>46191</v>
      </c>
      <c r="G25" s="3">
        <v>1</v>
      </c>
      <c r="H25" t="s">
        <v>83</v>
      </c>
      <c r="I25" t="s">
        <v>70</v>
      </c>
      <c r="J25" t="s">
        <v>67</v>
      </c>
      <c r="K25" t="s">
        <v>67</v>
      </c>
      <c r="L25" t="s">
        <v>67</v>
      </c>
      <c r="M25" t="s">
        <v>67</v>
      </c>
      <c r="N25" t="s">
        <v>67</v>
      </c>
      <c r="O25" t="s">
        <v>67</v>
      </c>
      <c r="P25" t="s">
        <v>67</v>
      </c>
      <c r="Q25" t="s">
        <v>88</v>
      </c>
      <c r="R25" t="s">
        <v>72</v>
      </c>
      <c r="S25" s="4">
        <v>46263</v>
      </c>
      <c r="T25" t="s">
        <v>67</v>
      </c>
      <c r="U25" t="s">
        <v>67</v>
      </c>
      <c r="V25" t="s">
        <v>67</v>
      </c>
      <c r="W25" s="2">
        <v>4</v>
      </c>
      <c r="X25" t="s">
        <v>518</v>
      </c>
      <c r="Y25" t="b">
        <v>1</v>
      </c>
      <c r="Z25" t="b">
        <v>0</v>
      </c>
    </row>
    <row r="26" spans="1:26" x14ac:dyDescent="0.25">
      <c r="A26" s="1">
        <v>46267</v>
      </c>
      <c r="B26" t="s">
        <v>12</v>
      </c>
      <c r="C26" t="s">
        <v>270</v>
      </c>
      <c r="D26" t="s">
        <v>180</v>
      </c>
      <c r="E26" s="1">
        <v>46056</v>
      </c>
      <c r="F26" s="1">
        <v>46178</v>
      </c>
      <c r="G26" s="3">
        <v>0</v>
      </c>
      <c r="H26" t="s">
        <v>89</v>
      </c>
      <c r="I26" t="s">
        <v>70</v>
      </c>
      <c r="J26" t="s">
        <v>67</v>
      </c>
      <c r="K26" t="s">
        <v>67</v>
      </c>
      <c r="L26" t="s">
        <v>67</v>
      </c>
      <c r="M26" t="s">
        <v>67</v>
      </c>
      <c r="N26" t="s">
        <v>67</v>
      </c>
      <c r="O26" t="s">
        <v>67</v>
      </c>
      <c r="P26" t="s">
        <v>67</v>
      </c>
      <c r="Q26" t="s">
        <v>88</v>
      </c>
      <c r="R26" t="s">
        <v>81</v>
      </c>
      <c r="S26" s="4">
        <v>46154</v>
      </c>
      <c r="T26" t="s">
        <v>67</v>
      </c>
      <c r="U26" t="s">
        <v>161</v>
      </c>
      <c r="V26" t="s">
        <v>67</v>
      </c>
      <c r="W26" s="2">
        <v>113</v>
      </c>
      <c r="X26" t="s">
        <v>518</v>
      </c>
      <c r="Y26" t="b">
        <v>1</v>
      </c>
      <c r="Z26" t="b">
        <v>0</v>
      </c>
    </row>
    <row r="27" spans="1:26" x14ac:dyDescent="0.25">
      <c r="A27" s="1">
        <v>46267</v>
      </c>
      <c r="B27" t="s">
        <v>146</v>
      </c>
      <c r="C27" t="s">
        <v>313</v>
      </c>
      <c r="D27" t="s">
        <v>67</v>
      </c>
      <c r="E27" s="1">
        <v>46213</v>
      </c>
      <c r="F27" s="1">
        <v>46335</v>
      </c>
      <c r="G27" s="3">
        <v>1</v>
      </c>
      <c r="H27" t="s">
        <v>74</v>
      </c>
      <c r="I27" t="s">
        <v>70</v>
      </c>
      <c r="J27" t="s">
        <v>126</v>
      </c>
      <c r="K27" t="s">
        <v>212</v>
      </c>
      <c r="L27" t="s">
        <v>213</v>
      </c>
      <c r="M27" t="s">
        <v>67</v>
      </c>
      <c r="N27" t="s">
        <v>67</v>
      </c>
      <c r="O27" t="s">
        <v>67</v>
      </c>
      <c r="P27" t="s">
        <v>67</v>
      </c>
      <c r="Q27" t="s">
        <v>101</v>
      </c>
      <c r="R27" t="s">
        <v>76</v>
      </c>
      <c r="S27" s="4">
        <v>46290</v>
      </c>
      <c r="T27" t="s">
        <v>67</v>
      </c>
      <c r="U27" t="s">
        <v>67</v>
      </c>
      <c r="V27" t="s">
        <v>67</v>
      </c>
      <c r="W27" s="2">
        <v>-23</v>
      </c>
      <c r="X27" t="s">
        <v>517</v>
      </c>
      <c r="Y27" t="b">
        <v>0</v>
      </c>
      <c r="Z27" t="b">
        <v>0</v>
      </c>
    </row>
    <row r="28" spans="1:26" x14ac:dyDescent="0.25">
      <c r="A28" s="1">
        <v>46267</v>
      </c>
      <c r="B28" t="s">
        <v>502</v>
      </c>
      <c r="C28" t="s">
        <v>314</v>
      </c>
      <c r="D28" t="s">
        <v>67</v>
      </c>
      <c r="E28" s="1">
        <v>46216</v>
      </c>
      <c r="F28" s="1">
        <v>46338</v>
      </c>
      <c r="G28" s="3">
        <v>0</v>
      </c>
      <c r="H28" t="s">
        <v>93</v>
      </c>
      <c r="I28" t="s">
        <v>70</v>
      </c>
      <c r="J28" t="s">
        <v>149</v>
      </c>
      <c r="K28" t="s">
        <v>214</v>
      </c>
      <c r="L28" t="s">
        <v>67</v>
      </c>
      <c r="M28" t="s">
        <v>67</v>
      </c>
      <c r="N28" t="s">
        <v>67</v>
      </c>
      <c r="O28" t="s">
        <v>67</v>
      </c>
      <c r="P28" t="s">
        <v>67</v>
      </c>
      <c r="Q28" t="s">
        <v>513</v>
      </c>
      <c r="R28" t="s">
        <v>72</v>
      </c>
      <c r="S28" s="4">
        <v>46236</v>
      </c>
      <c r="T28" t="s">
        <v>67</v>
      </c>
      <c r="U28" t="s">
        <v>67</v>
      </c>
      <c r="V28" t="s">
        <v>67</v>
      </c>
      <c r="W28" s="2">
        <v>31</v>
      </c>
      <c r="X28" t="s">
        <v>518</v>
      </c>
      <c r="Y28" t="b">
        <v>1</v>
      </c>
      <c r="Z28" t="b">
        <v>0</v>
      </c>
    </row>
    <row r="29" spans="1:26" x14ac:dyDescent="0.25">
      <c r="A29" s="1">
        <v>46267</v>
      </c>
      <c r="B29" t="s">
        <v>170</v>
      </c>
      <c r="C29" t="s">
        <v>315</v>
      </c>
      <c r="D29" t="s">
        <v>67</v>
      </c>
      <c r="E29" s="1">
        <v>46220</v>
      </c>
      <c r="F29" s="1">
        <v>46342</v>
      </c>
      <c r="G29" s="3">
        <v>0</v>
      </c>
      <c r="H29" t="s">
        <v>80</v>
      </c>
      <c r="I29" t="s">
        <v>70</v>
      </c>
      <c r="J29" t="s">
        <v>67</v>
      </c>
      <c r="K29" t="s">
        <v>67</v>
      </c>
      <c r="L29" t="s">
        <v>67</v>
      </c>
      <c r="M29" t="s">
        <v>67</v>
      </c>
      <c r="N29" t="s">
        <v>67</v>
      </c>
      <c r="O29" t="s">
        <v>67</v>
      </c>
      <c r="P29" t="s">
        <v>67</v>
      </c>
      <c r="Q29" t="s">
        <v>75</v>
      </c>
      <c r="R29" t="s">
        <v>85</v>
      </c>
      <c r="S29" s="4">
        <v>46306</v>
      </c>
      <c r="T29" t="s">
        <v>67</v>
      </c>
      <c r="U29" t="s">
        <v>67</v>
      </c>
      <c r="V29" t="s">
        <v>67</v>
      </c>
      <c r="W29" s="2">
        <v>-39</v>
      </c>
      <c r="X29" t="s">
        <v>517</v>
      </c>
      <c r="Y29" t="b">
        <v>0</v>
      </c>
      <c r="Z29" t="b">
        <v>0</v>
      </c>
    </row>
    <row r="30" spans="1:26" x14ac:dyDescent="0.25">
      <c r="A30" s="1">
        <v>46267</v>
      </c>
      <c r="B30" t="s">
        <v>167</v>
      </c>
      <c r="C30" t="s">
        <v>316</v>
      </c>
      <c r="D30" t="s">
        <v>67</v>
      </c>
      <c r="E30" s="1">
        <v>46224</v>
      </c>
      <c r="F30" s="1">
        <v>46346</v>
      </c>
      <c r="G30" s="3">
        <v>0</v>
      </c>
      <c r="H30" t="s">
        <v>93</v>
      </c>
      <c r="I30" t="s">
        <v>70</v>
      </c>
      <c r="J30" t="s">
        <v>67</v>
      </c>
      <c r="K30" t="s">
        <v>67</v>
      </c>
      <c r="L30" t="s">
        <v>67</v>
      </c>
      <c r="M30" t="s">
        <v>67</v>
      </c>
      <c r="N30" t="s">
        <v>67</v>
      </c>
      <c r="O30" t="s">
        <v>67</v>
      </c>
      <c r="P30" t="s">
        <v>67</v>
      </c>
      <c r="Q30" t="s">
        <v>97</v>
      </c>
      <c r="R30" t="s">
        <v>81</v>
      </c>
      <c r="S30" s="4">
        <v>46314</v>
      </c>
      <c r="T30" t="s">
        <v>67</v>
      </c>
      <c r="U30" t="s">
        <v>67</v>
      </c>
      <c r="V30" t="s">
        <v>67</v>
      </c>
      <c r="W30" s="2">
        <v>-47</v>
      </c>
      <c r="X30" t="s">
        <v>517</v>
      </c>
      <c r="Y30" t="b">
        <v>0</v>
      </c>
      <c r="Z30" t="b">
        <v>0</v>
      </c>
    </row>
    <row r="31" spans="1:26" x14ac:dyDescent="0.25">
      <c r="A31" s="1">
        <v>46267</v>
      </c>
      <c r="B31" t="s">
        <v>117</v>
      </c>
      <c r="C31" t="s">
        <v>317</v>
      </c>
      <c r="D31" t="s">
        <v>216</v>
      </c>
      <c r="E31" s="1">
        <v>46230</v>
      </c>
      <c r="F31" s="1">
        <v>46352</v>
      </c>
      <c r="G31" s="3">
        <v>0</v>
      </c>
      <c r="H31" t="s">
        <v>80</v>
      </c>
      <c r="I31" t="s">
        <v>70</v>
      </c>
      <c r="J31" t="s">
        <v>67</v>
      </c>
      <c r="K31" t="s">
        <v>67</v>
      </c>
      <c r="L31" t="s">
        <v>67</v>
      </c>
      <c r="M31" t="s">
        <v>67</v>
      </c>
      <c r="N31" t="s">
        <v>67</v>
      </c>
      <c r="O31" t="s">
        <v>67</v>
      </c>
      <c r="P31" t="s">
        <v>67</v>
      </c>
      <c r="Q31" t="s">
        <v>75</v>
      </c>
      <c r="R31" t="s">
        <v>85</v>
      </c>
      <c r="S31" s="4">
        <v>46235</v>
      </c>
      <c r="T31" t="s">
        <v>67</v>
      </c>
      <c r="U31" t="s">
        <v>67</v>
      </c>
      <c r="V31" t="s">
        <v>67</v>
      </c>
      <c r="W31" s="2">
        <v>32</v>
      </c>
      <c r="X31" t="s">
        <v>518</v>
      </c>
      <c r="Y31" t="b">
        <v>1</v>
      </c>
      <c r="Z31" t="b">
        <v>0</v>
      </c>
    </row>
    <row r="32" spans="1:26" x14ac:dyDescent="0.25">
      <c r="A32" s="1">
        <v>46267</v>
      </c>
      <c r="B32" t="s">
        <v>32</v>
      </c>
      <c r="C32" t="s">
        <v>318</v>
      </c>
      <c r="D32" t="s">
        <v>67</v>
      </c>
      <c r="E32" s="1">
        <v>46230</v>
      </c>
      <c r="F32" s="1">
        <v>46352</v>
      </c>
      <c r="G32" s="3">
        <v>0</v>
      </c>
      <c r="H32" t="s">
        <v>93</v>
      </c>
      <c r="I32" t="s">
        <v>70</v>
      </c>
      <c r="J32" t="s">
        <v>67</v>
      </c>
      <c r="K32" t="s">
        <v>67</v>
      </c>
      <c r="L32" t="s">
        <v>67</v>
      </c>
      <c r="M32" t="s">
        <v>67</v>
      </c>
      <c r="N32" t="s">
        <v>67</v>
      </c>
      <c r="O32" t="s">
        <v>67</v>
      </c>
      <c r="P32" t="s">
        <v>67</v>
      </c>
      <c r="Q32" t="s">
        <v>97</v>
      </c>
      <c r="R32" t="s">
        <v>76</v>
      </c>
      <c r="S32" s="4">
        <v>46233</v>
      </c>
      <c r="T32" t="s">
        <v>67</v>
      </c>
      <c r="U32" t="s">
        <v>67</v>
      </c>
      <c r="V32" t="s">
        <v>67</v>
      </c>
      <c r="W32" s="2">
        <v>34</v>
      </c>
      <c r="X32" t="s">
        <v>518</v>
      </c>
      <c r="Y32" t="b">
        <v>1</v>
      </c>
      <c r="Z32" t="b">
        <v>0</v>
      </c>
    </row>
    <row r="33" spans="1:26" x14ac:dyDescent="0.25">
      <c r="A33" s="1">
        <v>46267</v>
      </c>
      <c r="B33" t="s">
        <v>96</v>
      </c>
      <c r="C33" t="s">
        <v>319</v>
      </c>
      <c r="D33" t="s">
        <v>67</v>
      </c>
      <c r="E33" s="1">
        <v>46233</v>
      </c>
      <c r="F33" s="1">
        <v>46355</v>
      </c>
      <c r="G33" s="3">
        <v>0</v>
      </c>
      <c r="H33" t="s">
        <v>93</v>
      </c>
      <c r="I33" t="s">
        <v>70</v>
      </c>
      <c r="J33" t="s">
        <v>67</v>
      </c>
      <c r="K33" t="s">
        <v>67</v>
      </c>
      <c r="L33" t="s">
        <v>67</v>
      </c>
      <c r="M33" t="s">
        <v>67</v>
      </c>
      <c r="N33" t="s">
        <v>67</v>
      </c>
      <c r="O33" t="s">
        <v>67</v>
      </c>
      <c r="P33" t="s">
        <v>67</v>
      </c>
      <c r="Q33" t="s">
        <v>101</v>
      </c>
      <c r="R33" t="s">
        <v>91</v>
      </c>
      <c r="S33" s="4">
        <v>46240</v>
      </c>
      <c r="T33" t="s">
        <v>67</v>
      </c>
      <c r="U33" t="s">
        <v>161</v>
      </c>
      <c r="V33" t="s">
        <v>67</v>
      </c>
      <c r="W33" s="2">
        <v>27</v>
      </c>
      <c r="X33" t="s">
        <v>518</v>
      </c>
      <c r="Y33" t="b">
        <v>1</v>
      </c>
      <c r="Z33" t="b">
        <v>0</v>
      </c>
    </row>
    <row r="34" spans="1:26" x14ac:dyDescent="0.25">
      <c r="A34" s="1">
        <v>46267</v>
      </c>
      <c r="B34" t="s">
        <v>122</v>
      </c>
      <c r="C34" t="s">
        <v>312</v>
      </c>
      <c r="D34" t="s">
        <v>67</v>
      </c>
      <c r="E34" s="1">
        <v>46213</v>
      </c>
      <c r="F34" s="1">
        <v>46335</v>
      </c>
      <c r="G34" s="3">
        <v>0</v>
      </c>
      <c r="H34" t="s">
        <v>93</v>
      </c>
      <c r="I34" t="s">
        <v>70</v>
      </c>
      <c r="J34" t="s">
        <v>67</v>
      </c>
      <c r="K34" t="s">
        <v>67</v>
      </c>
      <c r="L34" t="s">
        <v>67</v>
      </c>
      <c r="M34" t="s">
        <v>67</v>
      </c>
      <c r="N34" t="s">
        <v>67</v>
      </c>
      <c r="O34" t="s">
        <v>67</v>
      </c>
      <c r="P34" t="s">
        <v>67</v>
      </c>
      <c r="Q34" t="s">
        <v>101</v>
      </c>
      <c r="R34" t="s">
        <v>76</v>
      </c>
      <c r="S34" s="4">
        <v>46318</v>
      </c>
      <c r="T34" t="s">
        <v>67</v>
      </c>
      <c r="U34" t="s">
        <v>67</v>
      </c>
      <c r="V34" t="s">
        <v>67</v>
      </c>
      <c r="W34" s="2">
        <v>-51</v>
      </c>
      <c r="X34" t="s">
        <v>517</v>
      </c>
      <c r="Y34" t="b">
        <v>0</v>
      </c>
      <c r="Z34" t="b">
        <v>0</v>
      </c>
    </row>
    <row r="35" spans="1:26" x14ac:dyDescent="0.25">
      <c r="A35" s="1">
        <v>46267</v>
      </c>
      <c r="B35" t="s">
        <v>217</v>
      </c>
      <c r="C35" t="s">
        <v>320</v>
      </c>
      <c r="D35" t="s">
        <v>67</v>
      </c>
      <c r="E35" s="1">
        <v>46246</v>
      </c>
      <c r="F35" s="1">
        <v>46368</v>
      </c>
      <c r="G35" s="3">
        <v>0</v>
      </c>
      <c r="H35" t="s">
        <v>83</v>
      </c>
      <c r="I35" t="s">
        <v>70</v>
      </c>
      <c r="J35" t="s">
        <v>126</v>
      </c>
      <c r="K35" t="s">
        <v>218</v>
      </c>
      <c r="L35" t="s">
        <v>219</v>
      </c>
      <c r="M35" t="s">
        <v>67</v>
      </c>
      <c r="N35" t="s">
        <v>67</v>
      </c>
      <c r="O35" t="s">
        <v>67</v>
      </c>
      <c r="P35" t="s">
        <v>67</v>
      </c>
      <c r="Q35" t="s">
        <v>75</v>
      </c>
      <c r="R35" t="s">
        <v>85</v>
      </c>
      <c r="S35" s="4">
        <v>46262</v>
      </c>
      <c r="T35" t="s">
        <v>67</v>
      </c>
      <c r="U35" t="s">
        <v>67</v>
      </c>
      <c r="V35" t="s">
        <v>67</v>
      </c>
      <c r="W35" s="2">
        <v>5</v>
      </c>
      <c r="X35" t="s">
        <v>518</v>
      </c>
      <c r="Y35" t="b">
        <v>1</v>
      </c>
      <c r="Z35" t="b">
        <v>0</v>
      </c>
    </row>
    <row r="36" spans="1:26" x14ac:dyDescent="0.25">
      <c r="A36" s="1">
        <v>46267</v>
      </c>
      <c r="B36" t="s">
        <v>12</v>
      </c>
      <c r="C36" t="s">
        <v>321</v>
      </c>
      <c r="D36" t="s">
        <v>67</v>
      </c>
      <c r="E36" s="1">
        <v>46246</v>
      </c>
      <c r="F36" s="1">
        <v>46368</v>
      </c>
      <c r="G36" s="3">
        <v>0</v>
      </c>
      <c r="H36" t="s">
        <v>93</v>
      </c>
      <c r="I36" t="s">
        <v>70</v>
      </c>
      <c r="J36" t="s">
        <v>95</v>
      </c>
      <c r="K36" t="s">
        <v>220</v>
      </c>
      <c r="L36" t="s">
        <v>221</v>
      </c>
      <c r="M36" t="s">
        <v>67</v>
      </c>
      <c r="N36" t="s">
        <v>67</v>
      </c>
      <c r="O36" t="s">
        <v>67</v>
      </c>
      <c r="P36" t="s">
        <v>67</v>
      </c>
      <c r="Q36" t="s">
        <v>71</v>
      </c>
      <c r="R36" t="s">
        <v>81</v>
      </c>
      <c r="S36" s="4">
        <v>46319</v>
      </c>
      <c r="T36" t="s">
        <v>67</v>
      </c>
      <c r="U36" t="s">
        <v>67</v>
      </c>
      <c r="V36" t="s">
        <v>67</v>
      </c>
      <c r="W36" s="2">
        <v>-52</v>
      </c>
      <c r="X36" t="s">
        <v>517</v>
      </c>
      <c r="Y36" t="b">
        <v>0</v>
      </c>
      <c r="Z36" t="b">
        <v>0</v>
      </c>
    </row>
    <row r="37" spans="1:26" x14ac:dyDescent="0.25">
      <c r="A37" s="1">
        <v>46267</v>
      </c>
      <c r="B37" t="s">
        <v>503</v>
      </c>
      <c r="C37" t="s">
        <v>322</v>
      </c>
      <c r="D37" t="s">
        <v>67</v>
      </c>
      <c r="E37" s="1">
        <v>46255</v>
      </c>
      <c r="F37" s="1">
        <v>46377</v>
      </c>
      <c r="G37" s="3">
        <v>0</v>
      </c>
      <c r="H37" t="s">
        <v>69</v>
      </c>
      <c r="I37" t="s">
        <v>70</v>
      </c>
      <c r="J37" t="s">
        <v>67</v>
      </c>
      <c r="K37" t="s">
        <v>67</v>
      </c>
      <c r="L37" t="s">
        <v>67</v>
      </c>
      <c r="M37" t="s">
        <v>67</v>
      </c>
      <c r="N37" t="s">
        <v>67</v>
      </c>
      <c r="O37" t="s">
        <v>67</v>
      </c>
      <c r="P37" t="s">
        <v>67</v>
      </c>
      <c r="Q37" t="s">
        <v>514</v>
      </c>
      <c r="R37" t="s">
        <v>81</v>
      </c>
      <c r="S37" s="4">
        <v>46275</v>
      </c>
      <c r="T37" t="s">
        <v>67</v>
      </c>
      <c r="U37" t="s">
        <v>67</v>
      </c>
      <c r="V37" t="s">
        <v>67</v>
      </c>
      <c r="W37" s="2">
        <v>-8</v>
      </c>
      <c r="X37" t="s">
        <v>517</v>
      </c>
      <c r="Y37" t="b">
        <v>0</v>
      </c>
      <c r="Z37" t="b">
        <v>0</v>
      </c>
    </row>
    <row r="38" spans="1:26" x14ac:dyDescent="0.25">
      <c r="A38" s="1">
        <v>46267</v>
      </c>
      <c r="B38" t="s">
        <v>494</v>
      </c>
      <c r="C38" t="s">
        <v>323</v>
      </c>
      <c r="D38" t="s">
        <v>67</v>
      </c>
      <c r="E38" s="1">
        <v>46258</v>
      </c>
      <c r="F38" s="1">
        <v>46380</v>
      </c>
      <c r="G38" s="3">
        <v>0</v>
      </c>
      <c r="H38" t="s">
        <v>74</v>
      </c>
      <c r="I38" t="s">
        <v>70</v>
      </c>
      <c r="J38" t="s">
        <v>67</v>
      </c>
      <c r="K38" t="s">
        <v>67</v>
      </c>
      <c r="L38" t="s">
        <v>67</v>
      </c>
      <c r="M38" t="s">
        <v>67</v>
      </c>
      <c r="N38" t="s">
        <v>67</v>
      </c>
      <c r="O38" t="s">
        <v>67</v>
      </c>
      <c r="P38" t="s">
        <v>67</v>
      </c>
      <c r="Q38" t="s">
        <v>506</v>
      </c>
      <c r="R38" t="s">
        <v>76</v>
      </c>
      <c r="S38" s="4">
        <v>46278</v>
      </c>
      <c r="T38" t="s">
        <v>67</v>
      </c>
      <c r="U38" t="s">
        <v>67</v>
      </c>
      <c r="V38" t="s">
        <v>67</v>
      </c>
      <c r="W38" s="2">
        <v>-11</v>
      </c>
      <c r="X38" t="s">
        <v>517</v>
      </c>
      <c r="Y38" t="b">
        <v>0</v>
      </c>
      <c r="Z38" t="b">
        <v>0</v>
      </c>
    </row>
    <row r="39" spans="1:26" x14ac:dyDescent="0.25">
      <c r="A39" s="1">
        <v>46267</v>
      </c>
      <c r="B39" t="s">
        <v>211</v>
      </c>
      <c r="C39" t="s">
        <v>310</v>
      </c>
      <c r="D39" t="s">
        <v>67</v>
      </c>
      <c r="E39" s="1">
        <v>46212</v>
      </c>
      <c r="F39" s="1">
        <v>46334</v>
      </c>
      <c r="G39" s="3">
        <v>1</v>
      </c>
      <c r="H39" t="s">
        <v>69</v>
      </c>
      <c r="I39" t="s">
        <v>70</v>
      </c>
      <c r="J39" t="s">
        <v>67</v>
      </c>
      <c r="K39" t="s">
        <v>67</v>
      </c>
      <c r="L39" t="s">
        <v>67</v>
      </c>
      <c r="M39" t="s">
        <v>67</v>
      </c>
      <c r="N39" t="s">
        <v>67</v>
      </c>
      <c r="O39" t="s">
        <v>67</v>
      </c>
      <c r="P39" t="s">
        <v>67</v>
      </c>
      <c r="Q39" t="s">
        <v>71</v>
      </c>
      <c r="R39" t="s">
        <v>91</v>
      </c>
      <c r="S39" s="4">
        <v>46314</v>
      </c>
      <c r="T39" t="s">
        <v>67</v>
      </c>
      <c r="U39" t="s">
        <v>67</v>
      </c>
      <c r="V39" t="s">
        <v>67</v>
      </c>
      <c r="W39" s="2">
        <v>-47</v>
      </c>
      <c r="X39" t="s">
        <v>517</v>
      </c>
      <c r="Y39" t="b">
        <v>0</v>
      </c>
      <c r="Z39" t="b">
        <v>0</v>
      </c>
    </row>
    <row r="40" spans="1:26" x14ac:dyDescent="0.25">
      <c r="A40" s="1">
        <v>46267</v>
      </c>
      <c r="B40" t="s">
        <v>498</v>
      </c>
      <c r="C40" t="s">
        <v>300</v>
      </c>
      <c r="D40" t="s">
        <v>202</v>
      </c>
      <c r="E40" s="1">
        <v>46188</v>
      </c>
      <c r="F40" s="1">
        <v>46310</v>
      </c>
      <c r="G40" s="3">
        <v>0</v>
      </c>
      <c r="H40" t="s">
        <v>89</v>
      </c>
      <c r="I40" t="s">
        <v>70</v>
      </c>
      <c r="J40" t="s">
        <v>187</v>
      </c>
      <c r="K40" t="s">
        <v>203</v>
      </c>
      <c r="L40" t="s">
        <v>204</v>
      </c>
      <c r="M40" t="s">
        <v>205</v>
      </c>
      <c r="N40" t="s">
        <v>206</v>
      </c>
      <c r="O40" t="s">
        <v>67</v>
      </c>
      <c r="P40" t="s">
        <v>67</v>
      </c>
      <c r="Q40" t="s">
        <v>509</v>
      </c>
      <c r="R40" t="s">
        <v>91</v>
      </c>
      <c r="S40" s="4">
        <v>46208</v>
      </c>
      <c r="T40" t="s">
        <v>67</v>
      </c>
      <c r="U40" t="s">
        <v>67</v>
      </c>
      <c r="V40" t="s">
        <v>67</v>
      </c>
      <c r="W40" s="2">
        <v>59</v>
      </c>
      <c r="X40" t="s">
        <v>518</v>
      </c>
      <c r="Y40" t="b">
        <v>1</v>
      </c>
      <c r="Z40" t="b">
        <v>0</v>
      </c>
    </row>
    <row r="41" spans="1:26" x14ac:dyDescent="0.25">
      <c r="A41" s="1">
        <v>46267</v>
      </c>
      <c r="B41" t="s">
        <v>86</v>
      </c>
      <c r="C41" t="s">
        <v>301</v>
      </c>
      <c r="D41" t="s">
        <v>207</v>
      </c>
      <c r="E41" s="1">
        <v>46190</v>
      </c>
      <c r="F41" s="1">
        <v>46312</v>
      </c>
      <c r="G41" s="3">
        <v>0</v>
      </c>
      <c r="H41" t="s">
        <v>89</v>
      </c>
      <c r="I41" t="s">
        <v>70</v>
      </c>
      <c r="J41" t="s">
        <v>67</v>
      </c>
      <c r="K41" t="s">
        <v>67</v>
      </c>
      <c r="L41" t="s">
        <v>67</v>
      </c>
      <c r="M41" t="s">
        <v>67</v>
      </c>
      <c r="N41" t="s">
        <v>67</v>
      </c>
      <c r="O41" t="s">
        <v>67</v>
      </c>
      <c r="P41" t="s">
        <v>67</v>
      </c>
      <c r="Q41" t="s">
        <v>101</v>
      </c>
      <c r="R41" t="s">
        <v>91</v>
      </c>
      <c r="S41" s="4">
        <v>46318</v>
      </c>
      <c r="T41" t="s">
        <v>67</v>
      </c>
      <c r="U41" t="s">
        <v>67</v>
      </c>
      <c r="V41" t="s">
        <v>67</v>
      </c>
      <c r="W41" s="2">
        <v>-51</v>
      </c>
      <c r="X41" t="s">
        <v>517</v>
      </c>
      <c r="Y41" t="b">
        <v>0</v>
      </c>
      <c r="Z41" t="b">
        <v>0</v>
      </c>
    </row>
    <row r="42" spans="1:26" x14ac:dyDescent="0.25">
      <c r="A42" s="1">
        <v>46267</v>
      </c>
      <c r="B42" t="s">
        <v>499</v>
      </c>
      <c r="C42" t="s">
        <v>302</v>
      </c>
      <c r="D42" t="s">
        <v>67</v>
      </c>
      <c r="E42" s="1">
        <v>46190</v>
      </c>
      <c r="F42" s="1">
        <v>46312</v>
      </c>
      <c r="G42" s="3">
        <v>0</v>
      </c>
      <c r="H42" t="s">
        <v>89</v>
      </c>
      <c r="I42" t="s">
        <v>70</v>
      </c>
      <c r="J42" t="s">
        <v>67</v>
      </c>
      <c r="K42" t="s">
        <v>67</v>
      </c>
      <c r="L42" t="s">
        <v>67</v>
      </c>
      <c r="M42" t="s">
        <v>67</v>
      </c>
      <c r="N42" t="s">
        <v>67</v>
      </c>
      <c r="O42" t="s">
        <v>67</v>
      </c>
      <c r="P42" t="s">
        <v>67</v>
      </c>
      <c r="Q42" t="s">
        <v>510</v>
      </c>
      <c r="R42" t="s">
        <v>76</v>
      </c>
      <c r="S42" s="4">
        <v>46210</v>
      </c>
      <c r="T42" t="s">
        <v>67</v>
      </c>
      <c r="U42" t="s">
        <v>67</v>
      </c>
      <c r="V42" t="s">
        <v>67</v>
      </c>
      <c r="W42" s="2">
        <v>57</v>
      </c>
      <c r="X42" t="s">
        <v>518</v>
      </c>
      <c r="Y42" t="b">
        <v>1</v>
      </c>
      <c r="Z42" t="b">
        <v>0</v>
      </c>
    </row>
    <row r="43" spans="1:26" x14ac:dyDescent="0.25">
      <c r="A43" s="1">
        <v>46267</v>
      </c>
      <c r="B43" t="s">
        <v>208</v>
      </c>
      <c r="C43" t="s">
        <v>303</v>
      </c>
      <c r="D43" t="s">
        <v>67</v>
      </c>
      <c r="E43" s="1">
        <v>46195</v>
      </c>
      <c r="F43" s="1">
        <v>46317</v>
      </c>
      <c r="G43" s="3">
        <v>0</v>
      </c>
      <c r="H43" t="s">
        <v>74</v>
      </c>
      <c r="I43" t="s">
        <v>70</v>
      </c>
      <c r="J43" t="s">
        <v>67</v>
      </c>
      <c r="K43" t="s">
        <v>67</v>
      </c>
      <c r="L43" t="s">
        <v>67</v>
      </c>
      <c r="M43" t="s">
        <v>67</v>
      </c>
      <c r="N43" t="s">
        <v>67</v>
      </c>
      <c r="O43" t="s">
        <v>67</v>
      </c>
      <c r="P43" t="s">
        <v>67</v>
      </c>
      <c r="Q43" t="s">
        <v>88</v>
      </c>
      <c r="R43" t="s">
        <v>85</v>
      </c>
      <c r="S43" s="4">
        <v>46279</v>
      </c>
      <c r="T43" t="s">
        <v>67</v>
      </c>
      <c r="U43" t="s">
        <v>67</v>
      </c>
      <c r="V43" t="s">
        <v>67</v>
      </c>
      <c r="W43" s="2">
        <v>-12</v>
      </c>
      <c r="X43" t="s">
        <v>517</v>
      </c>
      <c r="Y43" t="b">
        <v>0</v>
      </c>
      <c r="Z43" t="b">
        <v>0</v>
      </c>
    </row>
    <row r="44" spans="1:26" x14ac:dyDescent="0.25">
      <c r="A44" s="1">
        <v>46267</v>
      </c>
      <c r="B44" t="s">
        <v>163</v>
      </c>
      <c r="C44" t="s">
        <v>311</v>
      </c>
      <c r="D44" t="s">
        <v>67</v>
      </c>
      <c r="E44" s="1">
        <v>46212</v>
      </c>
      <c r="F44" s="1">
        <v>46334</v>
      </c>
      <c r="G44" s="3">
        <v>0</v>
      </c>
      <c r="H44" t="s">
        <v>93</v>
      </c>
      <c r="I44" t="s">
        <v>70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67</v>
      </c>
      <c r="Q44" t="s">
        <v>97</v>
      </c>
      <c r="R44" t="s">
        <v>91</v>
      </c>
      <c r="S44" s="4">
        <v>46314</v>
      </c>
      <c r="T44" t="s">
        <v>67</v>
      </c>
      <c r="U44" t="s">
        <v>67</v>
      </c>
      <c r="V44" t="s">
        <v>67</v>
      </c>
      <c r="W44" s="2">
        <v>-47</v>
      </c>
      <c r="X44" t="s">
        <v>517</v>
      </c>
      <c r="Y44" t="b">
        <v>0</v>
      </c>
      <c r="Z44" t="b">
        <v>0</v>
      </c>
    </row>
    <row r="45" spans="1:26" x14ac:dyDescent="0.25">
      <c r="A45" s="1">
        <v>46267</v>
      </c>
      <c r="B45" t="s">
        <v>500</v>
      </c>
      <c r="C45" t="s">
        <v>304</v>
      </c>
      <c r="D45" t="s">
        <v>67</v>
      </c>
      <c r="E45" s="1">
        <v>46200</v>
      </c>
      <c r="F45" s="1">
        <v>46322</v>
      </c>
      <c r="G45" s="3">
        <v>0</v>
      </c>
      <c r="H45" t="s">
        <v>93</v>
      </c>
      <c r="I45" t="s">
        <v>70</v>
      </c>
      <c r="J45" t="s">
        <v>67</v>
      </c>
      <c r="K45" t="s">
        <v>67</v>
      </c>
      <c r="L45" t="s">
        <v>67</v>
      </c>
      <c r="M45" t="s">
        <v>67</v>
      </c>
      <c r="N45" t="s">
        <v>67</v>
      </c>
      <c r="O45" t="s">
        <v>67</v>
      </c>
      <c r="P45" t="s">
        <v>67</v>
      </c>
      <c r="Q45" t="s">
        <v>511</v>
      </c>
      <c r="R45" t="s">
        <v>85</v>
      </c>
      <c r="S45" s="4">
        <v>46220</v>
      </c>
      <c r="T45" t="s">
        <v>67</v>
      </c>
      <c r="U45" t="s">
        <v>67</v>
      </c>
      <c r="V45" t="s">
        <v>67</v>
      </c>
      <c r="W45" s="2">
        <v>47</v>
      </c>
      <c r="X45" t="s">
        <v>518</v>
      </c>
      <c r="Y45" t="b">
        <v>1</v>
      </c>
      <c r="Z45" t="b">
        <v>0</v>
      </c>
    </row>
    <row r="46" spans="1:26" x14ac:dyDescent="0.25">
      <c r="A46" s="1">
        <v>46267</v>
      </c>
      <c r="B46" t="s">
        <v>501</v>
      </c>
      <c r="C46" t="s">
        <v>305</v>
      </c>
      <c r="D46" t="s">
        <v>67</v>
      </c>
      <c r="E46" s="1">
        <v>46203</v>
      </c>
      <c r="F46" s="1">
        <v>46325</v>
      </c>
      <c r="G46" s="3">
        <v>1</v>
      </c>
      <c r="H46" t="s">
        <v>83</v>
      </c>
      <c r="I46" t="s">
        <v>70</v>
      </c>
      <c r="J46" t="s">
        <v>67</v>
      </c>
      <c r="K46" t="s">
        <v>67</v>
      </c>
      <c r="L46" t="s">
        <v>67</v>
      </c>
      <c r="M46" t="s">
        <v>67</v>
      </c>
      <c r="N46" t="s">
        <v>67</v>
      </c>
      <c r="O46" t="s">
        <v>67</v>
      </c>
      <c r="P46" t="s">
        <v>67</v>
      </c>
      <c r="Q46" t="s">
        <v>512</v>
      </c>
      <c r="R46" t="s">
        <v>85</v>
      </c>
      <c r="S46" s="4">
        <v>46311</v>
      </c>
      <c r="T46" t="s">
        <v>67</v>
      </c>
      <c r="U46" t="s">
        <v>67</v>
      </c>
      <c r="V46" t="s">
        <v>67</v>
      </c>
      <c r="W46" s="2">
        <v>-44</v>
      </c>
      <c r="X46" t="s">
        <v>517</v>
      </c>
      <c r="Y46" t="b">
        <v>0</v>
      </c>
      <c r="Z46" t="b">
        <v>0</v>
      </c>
    </row>
    <row r="47" spans="1:26" x14ac:dyDescent="0.25">
      <c r="A47" s="1">
        <v>46267</v>
      </c>
      <c r="B47" t="s">
        <v>108</v>
      </c>
      <c r="C47" t="s">
        <v>306</v>
      </c>
      <c r="D47" t="s">
        <v>210</v>
      </c>
      <c r="E47" s="1">
        <v>46205</v>
      </c>
      <c r="F47" s="1">
        <v>46327</v>
      </c>
      <c r="G47" s="3">
        <v>0</v>
      </c>
      <c r="H47" t="s">
        <v>80</v>
      </c>
      <c r="I47" t="s">
        <v>70</v>
      </c>
      <c r="J47" t="s">
        <v>67</v>
      </c>
      <c r="K47" t="s">
        <v>67</v>
      </c>
      <c r="L47" t="s">
        <v>67</v>
      </c>
      <c r="M47" t="s">
        <v>67</v>
      </c>
      <c r="N47" t="s">
        <v>67</v>
      </c>
      <c r="O47" t="s">
        <v>67</v>
      </c>
      <c r="P47" t="s">
        <v>67</v>
      </c>
      <c r="Q47" t="s">
        <v>75</v>
      </c>
      <c r="R47" t="s">
        <v>91</v>
      </c>
      <c r="S47" s="4">
        <v>46261</v>
      </c>
      <c r="T47" t="s">
        <v>67</v>
      </c>
      <c r="U47" t="s">
        <v>67</v>
      </c>
      <c r="V47" t="s">
        <v>67</v>
      </c>
      <c r="W47" s="2">
        <v>6</v>
      </c>
      <c r="X47" t="s">
        <v>518</v>
      </c>
      <c r="Y47" t="b">
        <v>1</v>
      </c>
      <c r="Z47" t="b">
        <v>0</v>
      </c>
    </row>
    <row r="48" spans="1:26" x14ac:dyDescent="0.25">
      <c r="A48" s="1">
        <v>46267</v>
      </c>
      <c r="B48" t="s">
        <v>22</v>
      </c>
      <c r="C48" t="s">
        <v>307</v>
      </c>
      <c r="D48" t="s">
        <v>67</v>
      </c>
      <c r="E48" s="1">
        <v>46209</v>
      </c>
      <c r="F48" s="1">
        <v>46331</v>
      </c>
      <c r="G48" s="3">
        <v>0</v>
      </c>
      <c r="H48" t="s">
        <v>74</v>
      </c>
      <c r="I48" t="s">
        <v>70</v>
      </c>
      <c r="J48" t="s">
        <v>67</v>
      </c>
      <c r="K48" t="s">
        <v>67</v>
      </c>
      <c r="L48" t="s">
        <v>67</v>
      </c>
      <c r="M48" t="s">
        <v>67</v>
      </c>
      <c r="N48" t="s">
        <v>67</v>
      </c>
      <c r="O48" t="s">
        <v>67</v>
      </c>
      <c r="P48" t="s">
        <v>67</v>
      </c>
      <c r="Q48" t="s">
        <v>88</v>
      </c>
      <c r="R48" t="s">
        <v>72</v>
      </c>
      <c r="S48" s="4">
        <v>46313</v>
      </c>
      <c r="T48" t="s">
        <v>67</v>
      </c>
      <c r="U48" t="s">
        <v>67</v>
      </c>
      <c r="V48" t="s">
        <v>67</v>
      </c>
      <c r="W48" s="2">
        <v>-46</v>
      </c>
      <c r="X48" t="s">
        <v>517</v>
      </c>
      <c r="Y48" t="b">
        <v>0</v>
      </c>
      <c r="Z48" t="b">
        <v>0</v>
      </c>
    </row>
    <row r="49" spans="1:26" x14ac:dyDescent="0.25">
      <c r="A49" s="1">
        <v>46267</v>
      </c>
      <c r="B49" t="s">
        <v>144</v>
      </c>
      <c r="C49" t="s">
        <v>308</v>
      </c>
      <c r="D49" t="s">
        <v>67</v>
      </c>
      <c r="E49" s="1">
        <v>46210</v>
      </c>
      <c r="F49" s="1">
        <v>46332</v>
      </c>
      <c r="G49" s="3">
        <v>0</v>
      </c>
      <c r="H49" t="s">
        <v>89</v>
      </c>
      <c r="I49" t="s">
        <v>70</v>
      </c>
      <c r="J49" t="s">
        <v>67</v>
      </c>
      <c r="K49" t="s">
        <v>67</v>
      </c>
      <c r="L49" t="s">
        <v>67</v>
      </c>
      <c r="M49" t="s">
        <v>67</v>
      </c>
      <c r="N49" t="s">
        <v>67</v>
      </c>
      <c r="O49" t="s">
        <v>67</v>
      </c>
      <c r="P49" t="s">
        <v>67</v>
      </c>
      <c r="Q49" t="s">
        <v>88</v>
      </c>
      <c r="R49" t="s">
        <v>91</v>
      </c>
      <c r="S49" s="4">
        <v>46230</v>
      </c>
      <c r="T49" t="s">
        <v>67</v>
      </c>
      <c r="U49" t="s">
        <v>67</v>
      </c>
      <c r="V49" t="s">
        <v>67</v>
      </c>
      <c r="W49" s="2">
        <v>37</v>
      </c>
      <c r="X49" t="s">
        <v>518</v>
      </c>
      <c r="Y49" t="b">
        <v>1</v>
      </c>
      <c r="Z49" t="b">
        <v>0</v>
      </c>
    </row>
    <row r="50" spans="1:26" x14ac:dyDescent="0.25">
      <c r="A50" s="1">
        <v>46267</v>
      </c>
      <c r="B50" t="s">
        <v>104</v>
      </c>
      <c r="C50" t="s">
        <v>309</v>
      </c>
      <c r="D50" t="s">
        <v>67</v>
      </c>
      <c r="E50" s="1">
        <v>46211</v>
      </c>
      <c r="F50" s="1">
        <v>46333</v>
      </c>
      <c r="G50" s="3">
        <v>0</v>
      </c>
      <c r="H50" t="s">
        <v>89</v>
      </c>
      <c r="I50" t="s">
        <v>70</v>
      </c>
      <c r="J50" t="s">
        <v>67</v>
      </c>
      <c r="K50" t="s">
        <v>67</v>
      </c>
      <c r="L50" t="s">
        <v>67</v>
      </c>
      <c r="M50" t="s">
        <v>67</v>
      </c>
      <c r="N50" t="s">
        <v>67</v>
      </c>
      <c r="O50" t="s">
        <v>67</v>
      </c>
      <c r="P50" t="s">
        <v>67</v>
      </c>
      <c r="Q50" t="s">
        <v>71</v>
      </c>
      <c r="R50" t="s">
        <v>72</v>
      </c>
      <c r="S50" s="4">
        <v>46314</v>
      </c>
      <c r="T50" t="s">
        <v>67</v>
      </c>
      <c r="U50" t="s">
        <v>67</v>
      </c>
      <c r="V50" t="s">
        <v>67</v>
      </c>
      <c r="W50" s="2">
        <v>-47</v>
      </c>
      <c r="X50" t="s">
        <v>517</v>
      </c>
      <c r="Y50" t="b">
        <v>0</v>
      </c>
      <c r="Z50" t="b">
        <v>0</v>
      </c>
    </row>
    <row r="51" spans="1:26" x14ac:dyDescent="0.25">
      <c r="A51" s="1">
        <v>46267</v>
      </c>
      <c r="B51" t="s">
        <v>105</v>
      </c>
      <c r="C51" t="s">
        <v>324</v>
      </c>
      <c r="D51" t="s">
        <v>67</v>
      </c>
      <c r="E51" s="1">
        <v>46259</v>
      </c>
      <c r="F51" s="1">
        <v>46381</v>
      </c>
      <c r="G51" s="3">
        <v>0</v>
      </c>
      <c r="H51" t="s">
        <v>83</v>
      </c>
      <c r="I51" t="s">
        <v>70</v>
      </c>
      <c r="J51" t="s">
        <v>67</v>
      </c>
      <c r="K51" t="s">
        <v>67</v>
      </c>
      <c r="L51" t="s">
        <v>67</v>
      </c>
      <c r="M51" t="s">
        <v>67</v>
      </c>
      <c r="N51" t="s">
        <v>67</v>
      </c>
      <c r="O51" t="s">
        <v>67</v>
      </c>
      <c r="P51" t="s">
        <v>67</v>
      </c>
      <c r="Q51" t="s">
        <v>84</v>
      </c>
      <c r="R51" t="s">
        <v>85</v>
      </c>
      <c r="S51" s="4">
        <v>46262</v>
      </c>
      <c r="T51" t="s">
        <v>67</v>
      </c>
      <c r="U51" t="s">
        <v>67</v>
      </c>
      <c r="V51" t="s">
        <v>67</v>
      </c>
      <c r="W51" s="2">
        <v>5</v>
      </c>
      <c r="X51" t="s">
        <v>518</v>
      </c>
      <c r="Y51" t="b">
        <v>1</v>
      </c>
      <c r="Z51" t="b">
        <v>0</v>
      </c>
    </row>
    <row r="52" spans="1:26" x14ac:dyDescent="0.25">
      <c r="A52" s="1">
        <v>46267</v>
      </c>
      <c r="B52" t="s">
        <v>154</v>
      </c>
      <c r="C52" t="s">
        <v>269</v>
      </c>
      <c r="D52" t="s">
        <v>67</v>
      </c>
      <c r="E52" s="1">
        <v>46052</v>
      </c>
      <c r="F52" s="1">
        <v>46174</v>
      </c>
      <c r="G52" s="3">
        <v>2</v>
      </c>
      <c r="H52" t="s">
        <v>89</v>
      </c>
      <c r="I52" t="s">
        <v>70</v>
      </c>
      <c r="J52" t="s">
        <v>67</v>
      </c>
      <c r="K52" t="s">
        <v>67</v>
      </c>
      <c r="L52" t="s">
        <v>67</v>
      </c>
      <c r="M52" t="s">
        <v>67</v>
      </c>
      <c r="N52" t="s">
        <v>67</v>
      </c>
      <c r="O52" t="s">
        <v>67</v>
      </c>
      <c r="P52" t="s">
        <v>67</v>
      </c>
      <c r="Q52" t="s">
        <v>97</v>
      </c>
      <c r="R52" t="s">
        <v>76</v>
      </c>
      <c r="S52" s="4">
        <v>46325</v>
      </c>
      <c r="T52" t="s">
        <v>67</v>
      </c>
      <c r="U52" t="s">
        <v>67</v>
      </c>
      <c r="V52" t="s">
        <v>67</v>
      </c>
      <c r="W52" s="2">
        <v>-58</v>
      </c>
      <c r="X52" t="s">
        <v>517</v>
      </c>
      <c r="Y52" t="b">
        <v>0</v>
      </c>
      <c r="Z52" t="b">
        <v>0</v>
      </c>
    </row>
    <row r="53" spans="1:26" x14ac:dyDescent="0.25">
      <c r="A53" s="1">
        <v>46267</v>
      </c>
      <c r="B53" t="s">
        <v>179</v>
      </c>
      <c r="C53" t="s">
        <v>268</v>
      </c>
      <c r="D53" t="s">
        <v>67</v>
      </c>
      <c r="E53" s="1">
        <v>46050</v>
      </c>
      <c r="F53" s="1">
        <v>46172</v>
      </c>
      <c r="G53" s="3">
        <v>2</v>
      </c>
      <c r="H53" t="s">
        <v>69</v>
      </c>
      <c r="I53" t="s">
        <v>70</v>
      </c>
      <c r="J53" t="s">
        <v>67</v>
      </c>
      <c r="K53" t="s">
        <v>67</v>
      </c>
      <c r="L53" t="s">
        <v>67</v>
      </c>
      <c r="M53" t="s">
        <v>67</v>
      </c>
      <c r="N53" t="s">
        <v>67</v>
      </c>
      <c r="O53" t="s">
        <v>67</v>
      </c>
      <c r="P53" t="s">
        <v>67</v>
      </c>
      <c r="Q53" t="s">
        <v>75</v>
      </c>
      <c r="R53" t="s">
        <v>81</v>
      </c>
      <c r="S53" s="4">
        <v>46326</v>
      </c>
      <c r="T53" t="s">
        <v>67</v>
      </c>
      <c r="U53" t="s">
        <v>67</v>
      </c>
      <c r="V53" t="s">
        <v>67</v>
      </c>
      <c r="W53" s="2">
        <v>-59</v>
      </c>
      <c r="X53" t="s">
        <v>517</v>
      </c>
      <c r="Y53" t="b">
        <v>0</v>
      </c>
      <c r="Z53" t="b">
        <v>0</v>
      </c>
    </row>
    <row r="54" spans="1:26" x14ac:dyDescent="0.25">
      <c r="A54" s="1">
        <v>46267</v>
      </c>
      <c r="B54" t="s">
        <v>123</v>
      </c>
      <c r="C54" t="s">
        <v>241</v>
      </c>
      <c r="D54" t="s">
        <v>124</v>
      </c>
      <c r="E54" s="1">
        <v>45741</v>
      </c>
      <c r="F54" s="1">
        <v>45863</v>
      </c>
      <c r="G54" s="3">
        <v>2</v>
      </c>
      <c r="H54" t="s">
        <v>93</v>
      </c>
      <c r="I54" t="s">
        <v>70</v>
      </c>
      <c r="J54" t="s">
        <v>67</v>
      </c>
      <c r="K54" t="s">
        <v>67</v>
      </c>
      <c r="L54" t="s">
        <v>67</v>
      </c>
      <c r="M54" t="s">
        <v>67</v>
      </c>
      <c r="N54" t="s">
        <v>67</v>
      </c>
      <c r="O54" t="s">
        <v>67</v>
      </c>
      <c r="P54" t="s">
        <v>67</v>
      </c>
      <c r="Q54" t="s">
        <v>75</v>
      </c>
      <c r="R54" t="s">
        <v>85</v>
      </c>
      <c r="S54" s="4">
        <v>46178</v>
      </c>
      <c r="T54" t="s">
        <v>67</v>
      </c>
      <c r="U54" t="s">
        <v>67</v>
      </c>
      <c r="V54" t="s">
        <v>67</v>
      </c>
      <c r="W54" s="2">
        <v>89</v>
      </c>
      <c r="X54" t="s">
        <v>518</v>
      </c>
      <c r="Y54" t="b">
        <v>1</v>
      </c>
      <c r="Z54" t="b">
        <v>0</v>
      </c>
    </row>
    <row r="55" spans="1:26" x14ac:dyDescent="0.25">
      <c r="A55" s="1">
        <v>46267</v>
      </c>
      <c r="B55" t="s">
        <v>115</v>
      </c>
      <c r="C55" t="s">
        <v>242</v>
      </c>
      <c r="D55" t="s">
        <v>125</v>
      </c>
      <c r="E55" s="1">
        <v>45770</v>
      </c>
      <c r="F55" s="1">
        <v>45892</v>
      </c>
      <c r="G55" s="3">
        <v>4</v>
      </c>
      <c r="H55" t="s">
        <v>74</v>
      </c>
      <c r="I55" t="s">
        <v>70</v>
      </c>
      <c r="J55" t="s">
        <v>67</v>
      </c>
      <c r="K55" t="s">
        <v>67</v>
      </c>
      <c r="L55" t="s">
        <v>67</v>
      </c>
      <c r="M55" t="s">
        <v>67</v>
      </c>
      <c r="N55" t="s">
        <v>67</v>
      </c>
      <c r="O55" t="s">
        <v>67</v>
      </c>
      <c r="P55" t="s">
        <v>67</v>
      </c>
      <c r="Q55" t="s">
        <v>88</v>
      </c>
      <c r="R55" t="s">
        <v>85</v>
      </c>
      <c r="S55" s="4">
        <v>46171</v>
      </c>
      <c r="T55" t="s">
        <v>67</v>
      </c>
      <c r="U55" t="s">
        <v>67</v>
      </c>
      <c r="V55" t="s">
        <v>67</v>
      </c>
      <c r="W55" s="2">
        <v>96</v>
      </c>
      <c r="X55" t="s">
        <v>518</v>
      </c>
      <c r="Y55" t="b">
        <v>1</v>
      </c>
      <c r="Z55" t="b">
        <v>0</v>
      </c>
    </row>
    <row r="56" spans="1:26" x14ac:dyDescent="0.25">
      <c r="A56" s="1">
        <v>46267</v>
      </c>
      <c r="B56" t="s">
        <v>44</v>
      </c>
      <c r="C56" t="s">
        <v>243</v>
      </c>
      <c r="D56" t="s">
        <v>127</v>
      </c>
      <c r="E56" s="1">
        <v>45778</v>
      </c>
      <c r="F56" s="1">
        <v>45900</v>
      </c>
      <c r="G56" s="3">
        <v>2</v>
      </c>
      <c r="H56" t="s">
        <v>80</v>
      </c>
      <c r="I56" t="s">
        <v>70</v>
      </c>
      <c r="J56" t="s">
        <v>126</v>
      </c>
      <c r="K56" t="s">
        <v>128</v>
      </c>
      <c r="L56" t="s">
        <v>129</v>
      </c>
      <c r="M56" t="s">
        <v>67</v>
      </c>
      <c r="N56" t="s">
        <v>67</v>
      </c>
      <c r="O56" t="s">
        <v>67</v>
      </c>
      <c r="P56" t="s">
        <v>67</v>
      </c>
      <c r="Q56" t="s">
        <v>97</v>
      </c>
      <c r="R56" t="s">
        <v>76</v>
      </c>
      <c r="S56" s="4">
        <v>46234</v>
      </c>
      <c r="T56" t="s">
        <v>67</v>
      </c>
      <c r="U56" t="s">
        <v>67</v>
      </c>
      <c r="V56" t="s">
        <v>67</v>
      </c>
      <c r="W56" s="2">
        <v>33</v>
      </c>
      <c r="X56" t="s">
        <v>518</v>
      </c>
      <c r="Y56" t="b">
        <v>1</v>
      </c>
      <c r="Z56" t="b">
        <v>0</v>
      </c>
    </row>
    <row r="57" spans="1:26" x14ac:dyDescent="0.25">
      <c r="A57" s="1">
        <v>46267</v>
      </c>
      <c r="B57" t="s">
        <v>466</v>
      </c>
      <c r="C57" t="s">
        <v>244</v>
      </c>
      <c r="D57" t="s">
        <v>133</v>
      </c>
      <c r="E57" s="1">
        <v>45831</v>
      </c>
      <c r="F57" s="1">
        <v>45953</v>
      </c>
      <c r="G57" s="3">
        <v>0</v>
      </c>
      <c r="H57" t="s">
        <v>472</v>
      </c>
      <c r="I57" t="s">
        <v>70</v>
      </c>
      <c r="J57" t="s">
        <v>67</v>
      </c>
      <c r="K57" t="s">
        <v>67</v>
      </c>
      <c r="L57" t="s">
        <v>67</v>
      </c>
      <c r="M57" t="s">
        <v>67</v>
      </c>
      <c r="N57" t="s">
        <v>67</v>
      </c>
      <c r="O57" t="s">
        <v>67</v>
      </c>
      <c r="P57" t="s">
        <v>67</v>
      </c>
      <c r="Q57" t="s">
        <v>478</v>
      </c>
      <c r="R57" t="s">
        <v>72</v>
      </c>
      <c r="S57" s="4">
        <v>45851</v>
      </c>
      <c r="T57" t="s">
        <v>67</v>
      </c>
      <c r="U57" t="s">
        <v>67</v>
      </c>
      <c r="V57" t="s">
        <v>67</v>
      </c>
      <c r="W57" s="2">
        <v>416</v>
      </c>
      <c r="X57" t="s">
        <v>518</v>
      </c>
      <c r="Y57" t="b">
        <v>1</v>
      </c>
      <c r="Z57" t="b">
        <v>0</v>
      </c>
    </row>
    <row r="58" spans="1:26" x14ac:dyDescent="0.25">
      <c r="A58" s="1">
        <v>46267</v>
      </c>
      <c r="B58" t="s">
        <v>109</v>
      </c>
      <c r="C58" t="s">
        <v>245</v>
      </c>
      <c r="D58" t="s">
        <v>67</v>
      </c>
      <c r="E58" s="1">
        <v>45835</v>
      </c>
      <c r="F58" s="1">
        <v>45957</v>
      </c>
      <c r="G58" s="3">
        <v>1</v>
      </c>
      <c r="H58" t="s">
        <v>80</v>
      </c>
      <c r="I58" t="s">
        <v>70</v>
      </c>
      <c r="J58" t="s">
        <v>95</v>
      </c>
      <c r="K58" t="s">
        <v>134</v>
      </c>
      <c r="L58" t="s">
        <v>135</v>
      </c>
      <c r="M58" t="s">
        <v>136</v>
      </c>
      <c r="N58" t="s">
        <v>137</v>
      </c>
      <c r="O58" t="s">
        <v>67</v>
      </c>
      <c r="P58" t="s">
        <v>67</v>
      </c>
      <c r="Q58" t="s">
        <v>71</v>
      </c>
      <c r="R58" t="s">
        <v>85</v>
      </c>
      <c r="S58" s="4">
        <v>46136</v>
      </c>
      <c r="T58" t="s">
        <v>67</v>
      </c>
      <c r="U58" t="s">
        <v>67</v>
      </c>
      <c r="V58" t="s">
        <v>67</v>
      </c>
      <c r="W58" s="2">
        <v>131</v>
      </c>
      <c r="X58" t="s">
        <v>518</v>
      </c>
      <c r="Y58" t="b">
        <v>1</v>
      </c>
      <c r="Z58" t="b">
        <v>0</v>
      </c>
    </row>
    <row r="59" spans="1:26" x14ac:dyDescent="0.25">
      <c r="A59" s="1">
        <v>46267</v>
      </c>
      <c r="B59" t="s">
        <v>44</v>
      </c>
      <c r="C59" t="s">
        <v>246</v>
      </c>
      <c r="D59" t="s">
        <v>67</v>
      </c>
      <c r="E59" s="1">
        <v>45835</v>
      </c>
      <c r="F59" s="1">
        <v>45957</v>
      </c>
      <c r="G59" s="3">
        <v>1</v>
      </c>
      <c r="H59" t="s">
        <v>93</v>
      </c>
      <c r="I59" t="s">
        <v>70</v>
      </c>
      <c r="J59" t="s">
        <v>95</v>
      </c>
      <c r="K59" t="s">
        <v>138</v>
      </c>
      <c r="L59" t="s">
        <v>139</v>
      </c>
      <c r="M59" t="s">
        <v>136</v>
      </c>
      <c r="N59" t="s">
        <v>140</v>
      </c>
      <c r="O59" t="s">
        <v>67</v>
      </c>
      <c r="P59" t="s">
        <v>67</v>
      </c>
      <c r="Q59" t="s">
        <v>84</v>
      </c>
      <c r="R59" t="s">
        <v>85</v>
      </c>
      <c r="S59" s="4">
        <v>46190</v>
      </c>
      <c r="T59" t="s">
        <v>67</v>
      </c>
      <c r="U59" t="s">
        <v>67</v>
      </c>
      <c r="V59" t="s">
        <v>67</v>
      </c>
      <c r="W59" s="2">
        <v>77</v>
      </c>
      <c r="X59" t="s">
        <v>518</v>
      </c>
      <c r="Y59" t="b">
        <v>1</v>
      </c>
      <c r="Z59" t="b">
        <v>0</v>
      </c>
    </row>
    <row r="60" spans="1:26" x14ac:dyDescent="0.25">
      <c r="A60" s="1">
        <v>46267</v>
      </c>
      <c r="B60" t="s">
        <v>99</v>
      </c>
      <c r="C60" t="s">
        <v>247</v>
      </c>
      <c r="D60" t="s">
        <v>67</v>
      </c>
      <c r="E60" s="1">
        <v>45846</v>
      </c>
      <c r="F60" s="1">
        <v>45968</v>
      </c>
      <c r="G60" s="3">
        <v>2</v>
      </c>
      <c r="H60" t="s">
        <v>69</v>
      </c>
      <c r="I60" t="s">
        <v>70</v>
      </c>
      <c r="J60" t="s">
        <v>95</v>
      </c>
      <c r="K60" t="s">
        <v>141</v>
      </c>
      <c r="L60" t="s">
        <v>142</v>
      </c>
      <c r="M60" t="s">
        <v>67</v>
      </c>
      <c r="N60" t="s">
        <v>67</v>
      </c>
      <c r="O60" t="s">
        <v>67</v>
      </c>
      <c r="P60" t="s">
        <v>67</v>
      </c>
      <c r="Q60" t="s">
        <v>75</v>
      </c>
      <c r="R60" t="s">
        <v>85</v>
      </c>
      <c r="S60" s="4">
        <v>46247</v>
      </c>
      <c r="T60" t="s">
        <v>67</v>
      </c>
      <c r="U60" t="s">
        <v>67</v>
      </c>
      <c r="V60" t="s">
        <v>67</v>
      </c>
      <c r="W60" s="2">
        <v>20</v>
      </c>
      <c r="X60" t="s">
        <v>518</v>
      </c>
      <c r="Y60" t="b">
        <v>1</v>
      </c>
      <c r="Z60" t="b">
        <v>0</v>
      </c>
    </row>
    <row r="61" spans="1:26" x14ac:dyDescent="0.25">
      <c r="A61" s="1">
        <v>46267</v>
      </c>
      <c r="B61" t="s">
        <v>146</v>
      </c>
      <c r="C61" t="s">
        <v>248</v>
      </c>
      <c r="D61" t="s">
        <v>67</v>
      </c>
      <c r="E61" s="1">
        <v>45868</v>
      </c>
      <c r="F61" s="1">
        <v>45990</v>
      </c>
      <c r="G61" s="3">
        <v>5</v>
      </c>
      <c r="H61" t="s">
        <v>80</v>
      </c>
      <c r="I61" t="s">
        <v>70</v>
      </c>
      <c r="J61" t="s">
        <v>67</v>
      </c>
      <c r="K61" t="s">
        <v>67</v>
      </c>
      <c r="L61" t="s">
        <v>67</v>
      </c>
      <c r="M61" t="s">
        <v>67</v>
      </c>
      <c r="N61" t="s">
        <v>67</v>
      </c>
      <c r="O61" t="s">
        <v>67</v>
      </c>
      <c r="P61" t="s">
        <v>67</v>
      </c>
      <c r="Q61" t="s">
        <v>71</v>
      </c>
      <c r="R61" t="s">
        <v>76</v>
      </c>
      <c r="S61" s="4">
        <v>46278</v>
      </c>
      <c r="T61" t="s">
        <v>67</v>
      </c>
      <c r="U61" t="s">
        <v>67</v>
      </c>
      <c r="V61" t="s">
        <v>67</v>
      </c>
      <c r="W61" s="2">
        <v>-11</v>
      </c>
      <c r="X61" t="s">
        <v>517</v>
      </c>
      <c r="Y61" t="b">
        <v>0</v>
      </c>
      <c r="Z61" t="b">
        <v>0</v>
      </c>
    </row>
    <row r="62" spans="1:26" x14ac:dyDescent="0.25">
      <c r="A62" s="1">
        <v>46267</v>
      </c>
      <c r="B62" t="s">
        <v>73</v>
      </c>
      <c r="C62" t="s">
        <v>223</v>
      </c>
      <c r="D62" t="s">
        <v>67</v>
      </c>
      <c r="E62" s="1">
        <v>44629</v>
      </c>
      <c r="F62" s="1">
        <v>44751</v>
      </c>
      <c r="G62" s="3">
        <v>5</v>
      </c>
      <c r="H62" t="s">
        <v>74</v>
      </c>
      <c r="I62" t="s">
        <v>70</v>
      </c>
      <c r="J62" t="s">
        <v>67</v>
      </c>
      <c r="K62" t="s">
        <v>67</v>
      </c>
      <c r="L62" t="s">
        <v>67</v>
      </c>
      <c r="M62" t="s">
        <v>67</v>
      </c>
      <c r="N62" t="s">
        <v>67</v>
      </c>
      <c r="O62" t="s">
        <v>67</v>
      </c>
      <c r="P62" t="s">
        <v>67</v>
      </c>
      <c r="Q62" t="s">
        <v>75</v>
      </c>
      <c r="R62" t="s">
        <v>76</v>
      </c>
      <c r="S62" s="4">
        <v>45930</v>
      </c>
      <c r="T62" t="s">
        <v>67</v>
      </c>
      <c r="U62" t="s">
        <v>67</v>
      </c>
      <c r="V62" t="s">
        <v>67</v>
      </c>
      <c r="W62" s="2">
        <v>337</v>
      </c>
      <c r="X62" t="s">
        <v>518</v>
      </c>
      <c r="Y62" t="b">
        <v>1</v>
      </c>
      <c r="Z62" t="b">
        <v>0</v>
      </c>
    </row>
    <row r="63" spans="1:26" x14ac:dyDescent="0.25">
      <c r="A63" s="1">
        <v>46267</v>
      </c>
      <c r="B63" t="s">
        <v>465</v>
      </c>
      <c r="C63" t="s">
        <v>231</v>
      </c>
      <c r="D63" t="s">
        <v>67</v>
      </c>
      <c r="E63" s="1">
        <v>45398</v>
      </c>
      <c r="F63" s="1">
        <v>45520</v>
      </c>
      <c r="G63" s="3">
        <v>0</v>
      </c>
      <c r="H63" t="s">
        <v>471</v>
      </c>
      <c r="I63" t="s">
        <v>70</v>
      </c>
      <c r="J63" t="s">
        <v>67</v>
      </c>
      <c r="K63" t="s">
        <v>67</v>
      </c>
      <c r="L63" t="s">
        <v>67</v>
      </c>
      <c r="M63" t="s">
        <v>67</v>
      </c>
      <c r="N63" t="s">
        <v>67</v>
      </c>
      <c r="O63" t="s">
        <v>67</v>
      </c>
      <c r="P63" t="s">
        <v>67</v>
      </c>
      <c r="Q63" t="s">
        <v>477</v>
      </c>
      <c r="R63" t="s">
        <v>81</v>
      </c>
      <c r="S63" s="4">
        <v>45418</v>
      </c>
      <c r="T63" t="s">
        <v>67</v>
      </c>
      <c r="U63" t="s">
        <v>67</v>
      </c>
      <c r="V63" t="s">
        <v>67</v>
      </c>
      <c r="W63" s="2">
        <v>849</v>
      </c>
      <c r="X63" t="s">
        <v>518</v>
      </c>
      <c r="Y63" t="b">
        <v>1</v>
      </c>
      <c r="Z63" t="b">
        <v>0</v>
      </c>
    </row>
    <row r="64" spans="1:26" x14ac:dyDescent="0.25">
      <c r="A64" s="1">
        <v>46267</v>
      </c>
      <c r="B64" t="s">
        <v>77</v>
      </c>
      <c r="C64" t="s">
        <v>224</v>
      </c>
      <c r="D64" t="s">
        <v>78</v>
      </c>
      <c r="E64" s="1">
        <v>44680</v>
      </c>
      <c r="F64" s="1">
        <v>44802</v>
      </c>
      <c r="G64" s="3">
        <v>7</v>
      </c>
      <c r="H64" t="s">
        <v>74</v>
      </c>
      <c r="I64" t="s">
        <v>70</v>
      </c>
      <c r="J64" t="s">
        <v>67</v>
      </c>
      <c r="K64" t="s">
        <v>67</v>
      </c>
      <c r="L64" t="s">
        <v>67</v>
      </c>
      <c r="M64" t="s">
        <v>67</v>
      </c>
      <c r="N64" t="s">
        <v>67</v>
      </c>
      <c r="O64" t="s">
        <v>67</v>
      </c>
      <c r="P64" t="s">
        <v>67</v>
      </c>
      <c r="Q64" t="s">
        <v>71</v>
      </c>
      <c r="R64" t="s">
        <v>76</v>
      </c>
      <c r="S64" s="4">
        <v>46046</v>
      </c>
      <c r="T64" t="s">
        <v>67</v>
      </c>
      <c r="U64" t="s">
        <v>67</v>
      </c>
      <c r="V64" t="s">
        <v>67</v>
      </c>
      <c r="W64" s="2">
        <v>221</v>
      </c>
      <c r="X64" t="s">
        <v>518</v>
      </c>
      <c r="Y64" t="b">
        <v>1</v>
      </c>
      <c r="Z64" t="b">
        <v>0</v>
      </c>
    </row>
    <row r="65" spans="1:26" x14ac:dyDescent="0.25">
      <c r="A65" s="1">
        <v>46267</v>
      </c>
      <c r="B65" t="s">
        <v>79</v>
      </c>
      <c r="C65" t="s">
        <v>225</v>
      </c>
      <c r="D65" t="s">
        <v>67</v>
      </c>
      <c r="E65" s="1">
        <v>44858</v>
      </c>
      <c r="F65" s="1">
        <v>44980</v>
      </c>
      <c r="G65" s="3">
        <v>3</v>
      </c>
      <c r="H65" t="s">
        <v>80</v>
      </c>
      <c r="I65" t="s">
        <v>70</v>
      </c>
      <c r="J65" t="s">
        <v>67</v>
      </c>
      <c r="K65" t="s">
        <v>67</v>
      </c>
      <c r="L65" t="s">
        <v>67</v>
      </c>
      <c r="M65" t="s">
        <v>67</v>
      </c>
      <c r="N65" t="s">
        <v>67</v>
      </c>
      <c r="O65" t="s">
        <v>67</v>
      </c>
      <c r="P65" t="s">
        <v>67</v>
      </c>
      <c r="Q65" t="s">
        <v>71</v>
      </c>
      <c r="R65" t="s">
        <v>81</v>
      </c>
      <c r="S65" s="4">
        <v>46188</v>
      </c>
      <c r="T65" t="s">
        <v>67</v>
      </c>
      <c r="U65" t="s">
        <v>67</v>
      </c>
      <c r="V65" t="s">
        <v>67</v>
      </c>
      <c r="W65" s="2">
        <v>79</v>
      </c>
      <c r="X65" t="s">
        <v>518</v>
      </c>
      <c r="Y65" t="b">
        <v>1</v>
      </c>
      <c r="Z65" t="b">
        <v>0</v>
      </c>
    </row>
    <row r="66" spans="1:26" x14ac:dyDescent="0.25">
      <c r="A66" s="1">
        <v>46267</v>
      </c>
      <c r="B66" t="s">
        <v>32</v>
      </c>
      <c r="C66" t="s">
        <v>226</v>
      </c>
      <c r="D66" t="s">
        <v>82</v>
      </c>
      <c r="E66" s="1">
        <v>44879</v>
      </c>
      <c r="F66" s="1">
        <v>45001</v>
      </c>
      <c r="G66" s="3">
        <v>3</v>
      </c>
      <c r="H66" t="s">
        <v>83</v>
      </c>
      <c r="I66" t="s">
        <v>70</v>
      </c>
      <c r="J66" t="s">
        <v>67</v>
      </c>
      <c r="K66" t="s">
        <v>67</v>
      </c>
      <c r="L66" t="s">
        <v>67</v>
      </c>
      <c r="M66" t="s">
        <v>67</v>
      </c>
      <c r="N66" t="s">
        <v>67</v>
      </c>
      <c r="O66" t="s">
        <v>67</v>
      </c>
      <c r="P66" t="s">
        <v>67</v>
      </c>
      <c r="Q66" t="s">
        <v>84</v>
      </c>
      <c r="R66" t="s">
        <v>85</v>
      </c>
      <c r="S66" s="4">
        <v>45926</v>
      </c>
      <c r="T66" t="s">
        <v>67</v>
      </c>
      <c r="U66" t="s">
        <v>67</v>
      </c>
      <c r="V66" t="s">
        <v>67</v>
      </c>
      <c r="W66" s="2">
        <v>341</v>
      </c>
      <c r="X66" t="s">
        <v>518</v>
      </c>
      <c r="Y66" t="b">
        <v>1</v>
      </c>
      <c r="Z66" t="b">
        <v>0</v>
      </c>
    </row>
    <row r="67" spans="1:26" x14ac:dyDescent="0.25">
      <c r="A67" s="1">
        <v>46267</v>
      </c>
      <c r="B67" t="s">
        <v>86</v>
      </c>
      <c r="C67" t="s">
        <v>227</v>
      </c>
      <c r="D67" t="s">
        <v>87</v>
      </c>
      <c r="E67" s="1">
        <v>45107</v>
      </c>
      <c r="F67" s="1">
        <v>45229</v>
      </c>
      <c r="G67" s="3">
        <v>7</v>
      </c>
      <c r="H67" t="s">
        <v>69</v>
      </c>
      <c r="I67" t="s">
        <v>70</v>
      </c>
      <c r="J67" t="s">
        <v>67</v>
      </c>
      <c r="K67" t="s">
        <v>67</v>
      </c>
      <c r="L67" t="s">
        <v>67</v>
      </c>
      <c r="M67" t="s">
        <v>67</v>
      </c>
      <c r="N67" t="s">
        <v>67</v>
      </c>
      <c r="O67" t="s">
        <v>67</v>
      </c>
      <c r="P67" t="s">
        <v>67</v>
      </c>
      <c r="Q67" t="s">
        <v>88</v>
      </c>
      <c r="R67" t="s">
        <v>72</v>
      </c>
      <c r="S67" s="4">
        <v>46230</v>
      </c>
      <c r="T67" t="s">
        <v>67</v>
      </c>
      <c r="U67" t="s">
        <v>67</v>
      </c>
      <c r="V67" t="s">
        <v>67</v>
      </c>
      <c r="W67" s="2">
        <v>37</v>
      </c>
      <c r="X67" t="s">
        <v>518</v>
      </c>
      <c r="Y67" t="b">
        <v>1</v>
      </c>
      <c r="Z67" t="b">
        <v>0</v>
      </c>
    </row>
    <row r="68" spans="1:26" x14ac:dyDescent="0.25">
      <c r="A68" s="1">
        <v>46267</v>
      </c>
      <c r="B68" t="s">
        <v>496</v>
      </c>
      <c r="C68" t="s">
        <v>228</v>
      </c>
      <c r="D68" t="s">
        <v>67</v>
      </c>
      <c r="E68" s="1">
        <v>45238</v>
      </c>
      <c r="F68" s="1">
        <v>45360</v>
      </c>
      <c r="G68" s="3">
        <v>2</v>
      </c>
      <c r="H68" t="s">
        <v>89</v>
      </c>
      <c r="I68" t="s">
        <v>70</v>
      </c>
      <c r="J68" t="s">
        <v>67</v>
      </c>
      <c r="K68" t="s">
        <v>67</v>
      </c>
      <c r="L68" t="s">
        <v>67</v>
      </c>
      <c r="M68" t="s">
        <v>67</v>
      </c>
      <c r="N68" t="s">
        <v>67</v>
      </c>
      <c r="O68" t="s">
        <v>67</v>
      </c>
      <c r="P68" t="s">
        <v>67</v>
      </c>
      <c r="Q68" t="s">
        <v>507</v>
      </c>
      <c r="R68" t="s">
        <v>81</v>
      </c>
      <c r="S68" s="4">
        <v>46199</v>
      </c>
      <c r="T68" t="s">
        <v>67</v>
      </c>
      <c r="U68" t="s">
        <v>67</v>
      </c>
      <c r="V68" t="s">
        <v>67</v>
      </c>
      <c r="W68" s="2">
        <v>68</v>
      </c>
      <c r="X68" t="s">
        <v>518</v>
      </c>
      <c r="Y68" t="b">
        <v>1</v>
      </c>
      <c r="Z68" t="b">
        <v>0</v>
      </c>
    </row>
    <row r="69" spans="1:26" x14ac:dyDescent="0.25">
      <c r="A69" s="1">
        <v>46267</v>
      </c>
      <c r="B69" t="s">
        <v>90</v>
      </c>
      <c r="C69" t="s">
        <v>229</v>
      </c>
      <c r="D69" t="s">
        <v>67</v>
      </c>
      <c r="E69" s="1">
        <v>45272</v>
      </c>
      <c r="F69" s="1">
        <v>45394</v>
      </c>
      <c r="G69" s="3">
        <v>1</v>
      </c>
      <c r="H69" t="s">
        <v>74</v>
      </c>
      <c r="I69" t="s">
        <v>70</v>
      </c>
      <c r="J69" t="s">
        <v>67</v>
      </c>
      <c r="K69" t="s">
        <v>67</v>
      </c>
      <c r="L69" t="s">
        <v>67</v>
      </c>
      <c r="M69" t="s">
        <v>67</v>
      </c>
      <c r="N69" t="s">
        <v>67</v>
      </c>
      <c r="O69" t="s">
        <v>67</v>
      </c>
      <c r="P69" t="s">
        <v>67</v>
      </c>
      <c r="Q69" t="s">
        <v>71</v>
      </c>
      <c r="R69" t="s">
        <v>91</v>
      </c>
      <c r="S69" s="4">
        <v>46262</v>
      </c>
      <c r="T69" t="s">
        <v>67</v>
      </c>
      <c r="U69" t="s">
        <v>67</v>
      </c>
      <c r="V69" t="s">
        <v>67</v>
      </c>
      <c r="W69" s="2">
        <v>5</v>
      </c>
      <c r="X69" t="s">
        <v>518</v>
      </c>
      <c r="Y69" t="b">
        <v>1</v>
      </c>
      <c r="Z69" t="b">
        <v>0</v>
      </c>
    </row>
    <row r="70" spans="1:26" x14ac:dyDescent="0.25">
      <c r="A70" s="1">
        <v>46267</v>
      </c>
      <c r="B70" t="s">
        <v>29</v>
      </c>
      <c r="C70" t="s">
        <v>230</v>
      </c>
      <c r="D70" t="s">
        <v>92</v>
      </c>
      <c r="E70" s="1">
        <v>45363</v>
      </c>
      <c r="F70" s="1">
        <v>45485</v>
      </c>
      <c r="G70" s="3">
        <v>2</v>
      </c>
      <c r="H70" t="s">
        <v>93</v>
      </c>
      <c r="I70" t="s">
        <v>70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67</v>
      </c>
      <c r="Q70" t="s">
        <v>71</v>
      </c>
      <c r="R70" t="s">
        <v>81</v>
      </c>
      <c r="S70" s="4">
        <v>46203</v>
      </c>
      <c r="T70" t="s">
        <v>67</v>
      </c>
      <c r="U70" t="s">
        <v>67</v>
      </c>
      <c r="V70" t="s">
        <v>67</v>
      </c>
      <c r="W70" s="2">
        <v>64</v>
      </c>
      <c r="X70" t="s">
        <v>518</v>
      </c>
      <c r="Y70" t="b">
        <v>1</v>
      </c>
      <c r="Z70" t="b">
        <v>0</v>
      </c>
    </row>
    <row r="71" spans="1:26" x14ac:dyDescent="0.25">
      <c r="A71" s="1">
        <v>46267</v>
      </c>
      <c r="B71" t="s">
        <v>96</v>
      </c>
      <c r="C71" t="s">
        <v>232</v>
      </c>
      <c r="D71" t="s">
        <v>67</v>
      </c>
      <c r="E71" s="1">
        <v>45428</v>
      </c>
      <c r="F71" s="1">
        <v>45550</v>
      </c>
      <c r="G71" s="3">
        <v>1</v>
      </c>
      <c r="H71" t="s">
        <v>80</v>
      </c>
      <c r="I71" t="s">
        <v>70</v>
      </c>
      <c r="J71" t="s">
        <v>67</v>
      </c>
      <c r="K71" t="s">
        <v>67</v>
      </c>
      <c r="L71" t="s">
        <v>67</v>
      </c>
      <c r="M71" t="s">
        <v>67</v>
      </c>
      <c r="N71" t="s">
        <v>67</v>
      </c>
      <c r="O71" t="s">
        <v>67</v>
      </c>
      <c r="P71" t="s">
        <v>67</v>
      </c>
      <c r="Q71" t="s">
        <v>97</v>
      </c>
      <c r="R71" t="s">
        <v>81</v>
      </c>
      <c r="S71" s="4">
        <v>46234</v>
      </c>
      <c r="T71" t="s">
        <v>67</v>
      </c>
      <c r="U71" t="s">
        <v>67</v>
      </c>
      <c r="V71" t="s">
        <v>67</v>
      </c>
      <c r="W71" s="2">
        <v>33</v>
      </c>
      <c r="X71" t="s">
        <v>518</v>
      </c>
      <c r="Y71" t="b">
        <v>1</v>
      </c>
      <c r="Z71" t="b">
        <v>0</v>
      </c>
    </row>
    <row r="72" spans="1:26" x14ac:dyDescent="0.25">
      <c r="A72" s="1">
        <v>46267</v>
      </c>
      <c r="B72" t="s">
        <v>102</v>
      </c>
      <c r="C72" t="s">
        <v>233</v>
      </c>
      <c r="D72" t="s">
        <v>67</v>
      </c>
      <c r="E72" s="1">
        <v>45533</v>
      </c>
      <c r="F72" s="1">
        <v>45655</v>
      </c>
      <c r="G72" s="3">
        <v>2</v>
      </c>
      <c r="H72" t="s">
        <v>89</v>
      </c>
      <c r="I72" t="s">
        <v>70</v>
      </c>
      <c r="J72" t="s">
        <v>67</v>
      </c>
      <c r="K72" t="s">
        <v>67</v>
      </c>
      <c r="L72" t="s">
        <v>67</v>
      </c>
      <c r="M72" t="s">
        <v>67</v>
      </c>
      <c r="N72" t="s">
        <v>67</v>
      </c>
      <c r="O72" t="s">
        <v>67</v>
      </c>
      <c r="P72" t="s">
        <v>67</v>
      </c>
      <c r="Q72" t="s">
        <v>84</v>
      </c>
      <c r="R72" t="s">
        <v>91</v>
      </c>
      <c r="S72" s="4">
        <v>45961</v>
      </c>
      <c r="T72" t="s">
        <v>67</v>
      </c>
      <c r="U72" t="s">
        <v>67</v>
      </c>
      <c r="V72" t="s">
        <v>67</v>
      </c>
      <c r="W72" s="2">
        <v>306</v>
      </c>
      <c r="X72" t="s">
        <v>518</v>
      </c>
      <c r="Y72" t="b">
        <v>1</v>
      </c>
      <c r="Z72" t="b">
        <v>0</v>
      </c>
    </row>
    <row r="73" spans="1:26" x14ac:dyDescent="0.25">
      <c r="A73" s="1">
        <v>46267</v>
      </c>
      <c r="B73" t="s">
        <v>90</v>
      </c>
      <c r="C73" t="s">
        <v>235</v>
      </c>
      <c r="D73" t="s">
        <v>110</v>
      </c>
      <c r="E73" s="1">
        <v>45603</v>
      </c>
      <c r="F73" s="1">
        <v>45725</v>
      </c>
      <c r="G73" s="3">
        <v>3</v>
      </c>
      <c r="H73" t="s">
        <v>74</v>
      </c>
      <c r="I73" t="s">
        <v>70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67</v>
      </c>
      <c r="Q73" t="s">
        <v>71</v>
      </c>
      <c r="R73" t="s">
        <v>85</v>
      </c>
      <c r="S73" s="4">
        <v>46023</v>
      </c>
      <c r="T73" t="s">
        <v>67</v>
      </c>
      <c r="U73" t="s">
        <v>67</v>
      </c>
      <c r="V73" t="s">
        <v>67</v>
      </c>
      <c r="W73" s="2">
        <v>244</v>
      </c>
      <c r="X73" t="s">
        <v>518</v>
      </c>
      <c r="Y73" t="b">
        <v>1</v>
      </c>
      <c r="Z73" t="b">
        <v>0</v>
      </c>
    </row>
    <row r="74" spans="1:26" x14ac:dyDescent="0.25">
      <c r="A74" s="1">
        <v>46267</v>
      </c>
      <c r="B74" t="s">
        <v>12</v>
      </c>
      <c r="C74" t="s">
        <v>236</v>
      </c>
      <c r="D74" t="s">
        <v>67</v>
      </c>
      <c r="E74" s="1">
        <v>45637</v>
      </c>
      <c r="F74" s="1">
        <v>45759</v>
      </c>
      <c r="G74" s="3">
        <v>0</v>
      </c>
      <c r="H74" t="s">
        <v>89</v>
      </c>
      <c r="I74" t="s">
        <v>70</v>
      </c>
      <c r="J74" t="s">
        <v>95</v>
      </c>
      <c r="K74" t="s">
        <v>111</v>
      </c>
      <c r="L74" t="s">
        <v>112</v>
      </c>
      <c r="M74" t="s">
        <v>67</v>
      </c>
      <c r="N74" t="s">
        <v>67</v>
      </c>
      <c r="O74" t="s">
        <v>67</v>
      </c>
      <c r="P74" t="s">
        <v>67</v>
      </c>
      <c r="Q74" t="s">
        <v>75</v>
      </c>
      <c r="R74" t="s">
        <v>72</v>
      </c>
      <c r="S74" s="4">
        <v>45832</v>
      </c>
      <c r="T74" t="s">
        <v>67</v>
      </c>
      <c r="U74" t="s">
        <v>67</v>
      </c>
      <c r="V74" t="s">
        <v>67</v>
      </c>
      <c r="W74" s="2">
        <v>435</v>
      </c>
      <c r="X74" t="s">
        <v>518</v>
      </c>
      <c r="Y74" t="b">
        <v>1</v>
      </c>
      <c r="Z74" t="b">
        <v>0</v>
      </c>
    </row>
    <row r="75" spans="1:26" x14ac:dyDescent="0.25">
      <c r="A75" s="1">
        <v>46267</v>
      </c>
      <c r="B75" t="s">
        <v>115</v>
      </c>
      <c r="C75" t="s">
        <v>237</v>
      </c>
      <c r="D75" t="s">
        <v>116</v>
      </c>
      <c r="E75" s="1">
        <v>45642</v>
      </c>
      <c r="F75" s="1">
        <v>45764</v>
      </c>
      <c r="G75" s="3">
        <v>3</v>
      </c>
      <c r="H75" t="s">
        <v>74</v>
      </c>
      <c r="I75" t="s">
        <v>70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67</v>
      </c>
      <c r="Q75" t="s">
        <v>75</v>
      </c>
      <c r="R75" t="s">
        <v>81</v>
      </c>
      <c r="S75" s="4">
        <v>46233</v>
      </c>
      <c r="T75" t="s">
        <v>67</v>
      </c>
      <c r="U75" t="s">
        <v>67</v>
      </c>
      <c r="V75" t="s">
        <v>67</v>
      </c>
      <c r="W75" s="2">
        <v>34</v>
      </c>
      <c r="X75" t="s">
        <v>518</v>
      </c>
      <c r="Y75" t="b">
        <v>1</v>
      </c>
      <c r="Z75" t="b">
        <v>0</v>
      </c>
    </row>
    <row r="76" spans="1:26" x14ac:dyDescent="0.25">
      <c r="A76" s="1">
        <v>46267</v>
      </c>
      <c r="B76" t="s">
        <v>117</v>
      </c>
      <c r="C76" t="s">
        <v>238</v>
      </c>
      <c r="D76" t="s">
        <v>118</v>
      </c>
      <c r="E76" s="1">
        <v>45657</v>
      </c>
      <c r="F76" s="1">
        <v>45779</v>
      </c>
      <c r="G76" s="3">
        <v>4</v>
      </c>
      <c r="H76" t="s">
        <v>93</v>
      </c>
      <c r="I76" t="s">
        <v>70</v>
      </c>
      <c r="J76" t="s">
        <v>67</v>
      </c>
      <c r="K76" t="s">
        <v>67</v>
      </c>
      <c r="L76" t="s">
        <v>67</v>
      </c>
      <c r="M76" t="s">
        <v>67</v>
      </c>
      <c r="N76" t="s">
        <v>67</v>
      </c>
      <c r="O76" t="s">
        <v>67</v>
      </c>
      <c r="P76" t="s">
        <v>67</v>
      </c>
      <c r="Q76" t="s">
        <v>75</v>
      </c>
      <c r="R76" t="s">
        <v>85</v>
      </c>
      <c r="S76" s="4">
        <v>46387</v>
      </c>
      <c r="T76" t="s">
        <v>67</v>
      </c>
      <c r="U76" t="s">
        <v>67</v>
      </c>
      <c r="V76" t="s">
        <v>67</v>
      </c>
      <c r="W76" s="2">
        <v>-120</v>
      </c>
      <c r="X76" t="s">
        <v>517</v>
      </c>
      <c r="Y76" t="b">
        <v>0</v>
      </c>
      <c r="Z76" t="b">
        <v>0</v>
      </c>
    </row>
    <row r="77" spans="1:26" x14ac:dyDescent="0.25">
      <c r="A77" s="1">
        <v>46267</v>
      </c>
      <c r="B77" t="s">
        <v>86</v>
      </c>
      <c r="C77" t="s">
        <v>239</v>
      </c>
      <c r="D77" t="s">
        <v>67</v>
      </c>
      <c r="E77" s="1">
        <v>45693</v>
      </c>
      <c r="F77" s="1">
        <v>45815</v>
      </c>
      <c r="G77" s="3">
        <v>2</v>
      </c>
      <c r="H77" t="s">
        <v>93</v>
      </c>
      <c r="I77" t="s">
        <v>70</v>
      </c>
      <c r="J77" t="s">
        <v>67</v>
      </c>
      <c r="K77" t="s">
        <v>67</v>
      </c>
      <c r="L77" t="s">
        <v>67</v>
      </c>
      <c r="M77" t="s">
        <v>67</v>
      </c>
      <c r="N77" t="s">
        <v>67</v>
      </c>
      <c r="O77" t="s">
        <v>67</v>
      </c>
      <c r="P77" t="s">
        <v>67</v>
      </c>
      <c r="Q77" t="s">
        <v>101</v>
      </c>
      <c r="R77" t="s">
        <v>72</v>
      </c>
      <c r="S77" s="4">
        <v>46374</v>
      </c>
      <c r="T77" t="s">
        <v>67</v>
      </c>
      <c r="U77" t="s">
        <v>119</v>
      </c>
      <c r="V77" t="s">
        <v>67</v>
      </c>
      <c r="W77" s="2">
        <v>-107</v>
      </c>
      <c r="X77" t="s">
        <v>517</v>
      </c>
      <c r="Y77" t="b">
        <v>0</v>
      </c>
      <c r="Z77" t="b">
        <v>0</v>
      </c>
    </row>
    <row r="78" spans="1:26" x14ac:dyDescent="0.25">
      <c r="A78" s="1">
        <v>46267</v>
      </c>
      <c r="B78" t="s">
        <v>104</v>
      </c>
      <c r="C78" t="s">
        <v>234</v>
      </c>
      <c r="D78" t="s">
        <v>67</v>
      </c>
      <c r="E78" s="1">
        <v>45546</v>
      </c>
      <c r="F78" s="1">
        <v>45668</v>
      </c>
      <c r="G78" s="3">
        <v>1</v>
      </c>
      <c r="H78" t="s">
        <v>74</v>
      </c>
      <c r="I78" t="s">
        <v>70</v>
      </c>
      <c r="J78" t="s">
        <v>67</v>
      </c>
      <c r="K78" t="s">
        <v>67</v>
      </c>
      <c r="L78" t="s">
        <v>67</v>
      </c>
      <c r="M78" t="s">
        <v>67</v>
      </c>
      <c r="N78" t="s">
        <v>67</v>
      </c>
      <c r="O78" t="s">
        <v>67</v>
      </c>
      <c r="P78" t="s">
        <v>67</v>
      </c>
      <c r="Q78" t="s">
        <v>101</v>
      </c>
      <c r="R78" t="s">
        <v>85</v>
      </c>
      <c r="S78" s="4">
        <v>46136</v>
      </c>
      <c r="T78" t="s">
        <v>67</v>
      </c>
      <c r="U78" t="s">
        <v>67</v>
      </c>
      <c r="V78" t="s">
        <v>67</v>
      </c>
      <c r="W78" s="2">
        <v>131</v>
      </c>
      <c r="X78" t="s">
        <v>518</v>
      </c>
      <c r="Y78" t="b">
        <v>1</v>
      </c>
      <c r="Z78" t="b">
        <v>0</v>
      </c>
    </row>
    <row r="79" spans="1:26" x14ac:dyDescent="0.25">
      <c r="A79" s="1">
        <v>46267</v>
      </c>
      <c r="B79" t="s">
        <v>171</v>
      </c>
      <c r="C79" t="s">
        <v>262</v>
      </c>
      <c r="D79" t="s">
        <v>67</v>
      </c>
      <c r="E79" s="1">
        <v>46020</v>
      </c>
      <c r="F79" s="1">
        <v>46142</v>
      </c>
      <c r="G79" s="3">
        <v>1</v>
      </c>
      <c r="H79" t="s">
        <v>74</v>
      </c>
      <c r="I79" t="s">
        <v>70</v>
      </c>
      <c r="J79" t="s">
        <v>67</v>
      </c>
      <c r="K79" t="s">
        <v>67</v>
      </c>
      <c r="L79" t="s">
        <v>67</v>
      </c>
      <c r="M79" t="s">
        <v>67</v>
      </c>
      <c r="N79" t="s">
        <v>67</v>
      </c>
      <c r="O79" t="s">
        <v>67</v>
      </c>
      <c r="P79" t="s">
        <v>67</v>
      </c>
      <c r="Q79" t="s">
        <v>88</v>
      </c>
      <c r="R79" t="s">
        <v>81</v>
      </c>
      <c r="S79" s="4">
        <v>46295</v>
      </c>
      <c r="T79" t="s">
        <v>67</v>
      </c>
      <c r="U79" t="s">
        <v>67</v>
      </c>
      <c r="V79" t="s">
        <v>67</v>
      </c>
      <c r="W79" s="2">
        <v>-28</v>
      </c>
      <c r="X79" t="s">
        <v>517</v>
      </c>
      <c r="Y79" t="b">
        <v>0</v>
      </c>
      <c r="Z79" t="b">
        <v>0</v>
      </c>
    </row>
    <row r="80" spans="1:26" x14ac:dyDescent="0.25">
      <c r="A80" s="1">
        <v>46267</v>
      </c>
      <c r="B80" t="s">
        <v>172</v>
      </c>
      <c r="C80" t="s">
        <v>263</v>
      </c>
      <c r="D80" t="s">
        <v>173</v>
      </c>
      <c r="E80" s="1">
        <v>46035</v>
      </c>
      <c r="F80" s="1">
        <v>46157</v>
      </c>
      <c r="G80" s="3">
        <v>1</v>
      </c>
      <c r="H80" t="s">
        <v>93</v>
      </c>
      <c r="I80" t="s">
        <v>70</v>
      </c>
      <c r="J80" t="s">
        <v>67</v>
      </c>
      <c r="K80" t="s">
        <v>67</v>
      </c>
      <c r="L80" t="s">
        <v>67</v>
      </c>
      <c r="M80" t="s">
        <v>67</v>
      </c>
      <c r="N80" t="s">
        <v>67</v>
      </c>
      <c r="O80" t="s">
        <v>67</v>
      </c>
      <c r="P80" t="s">
        <v>67</v>
      </c>
      <c r="Q80" t="s">
        <v>88</v>
      </c>
      <c r="R80" t="s">
        <v>81</v>
      </c>
      <c r="S80" s="4">
        <v>46276</v>
      </c>
      <c r="T80" t="s">
        <v>67</v>
      </c>
      <c r="U80" t="s">
        <v>67</v>
      </c>
      <c r="V80" t="s">
        <v>67</v>
      </c>
      <c r="W80" s="2">
        <v>-9</v>
      </c>
      <c r="X80" t="s">
        <v>517</v>
      </c>
      <c r="Y80" t="b">
        <v>0</v>
      </c>
      <c r="Z80" t="b">
        <v>0</v>
      </c>
    </row>
    <row r="81" spans="1:26" x14ac:dyDescent="0.25">
      <c r="A81" s="1">
        <v>46267</v>
      </c>
      <c r="B81" t="s">
        <v>166</v>
      </c>
      <c r="C81" t="s">
        <v>264</v>
      </c>
      <c r="D81" t="s">
        <v>67</v>
      </c>
      <c r="E81" s="1">
        <v>46035</v>
      </c>
      <c r="F81" s="1">
        <v>46157</v>
      </c>
      <c r="G81" s="3">
        <v>1</v>
      </c>
      <c r="H81" t="s">
        <v>89</v>
      </c>
      <c r="I81" t="s">
        <v>70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67</v>
      </c>
      <c r="Q81" t="s">
        <v>75</v>
      </c>
      <c r="R81" t="s">
        <v>81</v>
      </c>
      <c r="S81" s="4">
        <v>46261</v>
      </c>
      <c r="T81" t="s">
        <v>67</v>
      </c>
      <c r="U81" t="s">
        <v>67</v>
      </c>
      <c r="V81" t="s">
        <v>67</v>
      </c>
      <c r="W81" s="2">
        <v>6</v>
      </c>
      <c r="X81" t="s">
        <v>518</v>
      </c>
      <c r="Y81" t="b">
        <v>1</v>
      </c>
      <c r="Z81" t="b">
        <v>0</v>
      </c>
    </row>
    <row r="82" spans="1:26" x14ac:dyDescent="0.25">
      <c r="A82" s="1">
        <v>46267</v>
      </c>
      <c r="B82" t="s">
        <v>130</v>
      </c>
      <c r="C82" t="s">
        <v>265</v>
      </c>
      <c r="D82" t="s">
        <v>174</v>
      </c>
      <c r="E82" s="1">
        <v>46036</v>
      </c>
      <c r="F82" s="1">
        <v>46158</v>
      </c>
      <c r="G82" s="3">
        <v>2</v>
      </c>
      <c r="H82" t="s">
        <v>74</v>
      </c>
      <c r="I82" t="s">
        <v>70</v>
      </c>
      <c r="J82" t="s">
        <v>67</v>
      </c>
      <c r="K82" t="s">
        <v>67</v>
      </c>
      <c r="L82" t="s">
        <v>67</v>
      </c>
      <c r="M82" t="s">
        <v>67</v>
      </c>
      <c r="N82" t="s">
        <v>67</v>
      </c>
      <c r="O82" t="s">
        <v>67</v>
      </c>
      <c r="P82" t="s">
        <v>67</v>
      </c>
      <c r="Q82" t="s">
        <v>71</v>
      </c>
      <c r="R82" t="s">
        <v>76</v>
      </c>
      <c r="S82" s="4">
        <v>46295</v>
      </c>
      <c r="T82" t="s">
        <v>67</v>
      </c>
      <c r="U82" t="s">
        <v>67</v>
      </c>
      <c r="V82" t="s">
        <v>67</v>
      </c>
      <c r="W82" s="2">
        <v>-28</v>
      </c>
      <c r="X82" t="s">
        <v>517</v>
      </c>
      <c r="Y82" t="b">
        <v>0</v>
      </c>
      <c r="Z82" t="b">
        <v>0</v>
      </c>
    </row>
    <row r="83" spans="1:26" x14ac:dyDescent="0.25">
      <c r="A83" s="1">
        <v>46267</v>
      </c>
      <c r="B83" t="s">
        <v>175</v>
      </c>
      <c r="C83" t="s">
        <v>266</v>
      </c>
      <c r="D83" t="s">
        <v>67</v>
      </c>
      <c r="E83" s="1">
        <v>46038</v>
      </c>
      <c r="F83" s="1">
        <v>46160</v>
      </c>
      <c r="G83" s="3">
        <v>1</v>
      </c>
      <c r="H83" t="s">
        <v>80</v>
      </c>
      <c r="I83" t="s">
        <v>70</v>
      </c>
      <c r="J83" t="s">
        <v>126</v>
      </c>
      <c r="K83" t="s">
        <v>176</v>
      </c>
      <c r="L83" t="s">
        <v>177</v>
      </c>
      <c r="M83" t="s">
        <v>67</v>
      </c>
      <c r="N83" t="s">
        <v>67</v>
      </c>
      <c r="O83" t="s">
        <v>67</v>
      </c>
      <c r="P83" t="s">
        <v>67</v>
      </c>
      <c r="Q83" t="s">
        <v>97</v>
      </c>
      <c r="R83" t="s">
        <v>72</v>
      </c>
      <c r="S83" s="4">
        <v>46325</v>
      </c>
      <c r="T83" t="s">
        <v>67</v>
      </c>
      <c r="U83" t="s">
        <v>67</v>
      </c>
      <c r="V83" t="s">
        <v>67</v>
      </c>
      <c r="W83" s="2">
        <v>-58</v>
      </c>
      <c r="X83" t="s">
        <v>517</v>
      </c>
      <c r="Y83" t="b">
        <v>0</v>
      </c>
      <c r="Z83" t="b">
        <v>0</v>
      </c>
    </row>
    <row r="84" spans="1:26" x14ac:dyDescent="0.25">
      <c r="A84" s="1">
        <v>46267</v>
      </c>
      <c r="B84" t="s">
        <v>120</v>
      </c>
      <c r="C84" t="s">
        <v>267</v>
      </c>
      <c r="D84" t="s">
        <v>67</v>
      </c>
      <c r="E84" s="1">
        <v>46042</v>
      </c>
      <c r="F84" s="1">
        <v>46164</v>
      </c>
      <c r="G84" s="3">
        <v>1</v>
      </c>
      <c r="H84" t="s">
        <v>83</v>
      </c>
      <c r="I84" t="s">
        <v>70</v>
      </c>
      <c r="J84" t="s">
        <v>67</v>
      </c>
      <c r="K84" t="s">
        <v>67</v>
      </c>
      <c r="L84" t="s">
        <v>67</v>
      </c>
      <c r="M84" t="s">
        <v>67</v>
      </c>
      <c r="N84" t="s">
        <v>67</v>
      </c>
      <c r="O84" t="s">
        <v>67</v>
      </c>
      <c r="P84" t="s">
        <v>67</v>
      </c>
      <c r="Q84" t="s">
        <v>88</v>
      </c>
      <c r="R84" t="s">
        <v>85</v>
      </c>
      <c r="S84" s="4">
        <v>46295</v>
      </c>
      <c r="T84" t="s">
        <v>67</v>
      </c>
      <c r="U84" t="s">
        <v>161</v>
      </c>
      <c r="V84" t="s">
        <v>67</v>
      </c>
      <c r="W84" s="2">
        <v>-28</v>
      </c>
      <c r="X84" t="s">
        <v>517</v>
      </c>
      <c r="Y84" t="b">
        <v>0</v>
      </c>
      <c r="Z84" t="b">
        <v>0</v>
      </c>
    </row>
    <row r="85" spans="1:26" x14ac:dyDescent="0.25">
      <c r="A85" s="1">
        <v>46267</v>
      </c>
      <c r="B85" t="s">
        <v>147</v>
      </c>
      <c r="C85" t="s">
        <v>249</v>
      </c>
      <c r="D85" t="s">
        <v>67</v>
      </c>
      <c r="E85" s="1">
        <v>45895</v>
      </c>
      <c r="F85" s="1">
        <v>46017</v>
      </c>
      <c r="G85" s="3">
        <v>4</v>
      </c>
      <c r="H85" t="s">
        <v>69</v>
      </c>
      <c r="I85" t="s">
        <v>70</v>
      </c>
      <c r="J85" t="s">
        <v>67</v>
      </c>
      <c r="K85" t="s">
        <v>67</v>
      </c>
      <c r="L85" t="s">
        <v>67</v>
      </c>
      <c r="M85" t="s">
        <v>67</v>
      </c>
      <c r="N85" t="s">
        <v>67</v>
      </c>
      <c r="O85" t="s">
        <v>67</v>
      </c>
      <c r="P85" t="s">
        <v>67</v>
      </c>
      <c r="Q85" t="s">
        <v>84</v>
      </c>
      <c r="R85" t="s">
        <v>91</v>
      </c>
      <c r="S85" s="4">
        <v>46220</v>
      </c>
      <c r="T85" t="s">
        <v>67</v>
      </c>
      <c r="U85" t="s">
        <v>67</v>
      </c>
      <c r="V85" t="s">
        <v>67</v>
      </c>
      <c r="W85" s="2">
        <v>47</v>
      </c>
      <c r="X85" t="s">
        <v>518</v>
      </c>
      <c r="Y85" t="b">
        <v>1</v>
      </c>
      <c r="Z85" t="b">
        <v>0</v>
      </c>
    </row>
    <row r="86" spans="1:26" x14ac:dyDescent="0.25">
      <c r="A86" s="1">
        <v>46267</v>
      </c>
      <c r="B86" t="s">
        <v>40</v>
      </c>
      <c r="C86" t="s">
        <v>260</v>
      </c>
      <c r="D86" t="s">
        <v>159</v>
      </c>
      <c r="E86" s="1">
        <v>45986</v>
      </c>
      <c r="F86" s="1">
        <v>46108</v>
      </c>
      <c r="G86" s="3">
        <v>1</v>
      </c>
      <c r="H86" t="s">
        <v>74</v>
      </c>
      <c r="I86" t="s">
        <v>70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67</v>
      </c>
      <c r="Q86" t="s">
        <v>88</v>
      </c>
      <c r="R86" t="s">
        <v>76</v>
      </c>
      <c r="S86" s="4">
        <v>46265</v>
      </c>
      <c r="T86" t="s">
        <v>67</v>
      </c>
      <c r="U86" t="s">
        <v>67</v>
      </c>
      <c r="V86" t="s">
        <v>121</v>
      </c>
      <c r="W86" s="2">
        <v>2</v>
      </c>
      <c r="X86" t="s">
        <v>518</v>
      </c>
      <c r="Y86" t="b">
        <v>1</v>
      </c>
      <c r="Z86" t="b">
        <v>0</v>
      </c>
    </row>
    <row r="87" spans="1:26" x14ac:dyDescent="0.25">
      <c r="A87" s="1">
        <v>46267</v>
      </c>
      <c r="B87" t="s">
        <v>467</v>
      </c>
      <c r="C87" t="s">
        <v>250</v>
      </c>
      <c r="D87" t="s">
        <v>67</v>
      </c>
      <c r="E87" s="1">
        <v>45910</v>
      </c>
      <c r="F87" s="1">
        <v>46032</v>
      </c>
      <c r="G87" s="3">
        <v>0</v>
      </c>
      <c r="H87" t="s">
        <v>473</v>
      </c>
      <c r="I87" t="s">
        <v>70</v>
      </c>
      <c r="J87" t="s">
        <v>67</v>
      </c>
      <c r="K87" t="s">
        <v>67</v>
      </c>
      <c r="L87" t="s">
        <v>67</v>
      </c>
      <c r="M87" t="s">
        <v>67</v>
      </c>
      <c r="N87" t="s">
        <v>67</v>
      </c>
      <c r="O87" t="s">
        <v>67</v>
      </c>
      <c r="P87" t="s">
        <v>67</v>
      </c>
      <c r="Q87" t="s">
        <v>479</v>
      </c>
      <c r="R87" t="s">
        <v>91</v>
      </c>
      <c r="S87" s="4">
        <v>45930</v>
      </c>
      <c r="T87" t="s">
        <v>67</v>
      </c>
      <c r="U87" t="s">
        <v>67</v>
      </c>
      <c r="V87" t="s">
        <v>67</v>
      </c>
      <c r="W87" s="2">
        <v>337</v>
      </c>
      <c r="X87" t="s">
        <v>518</v>
      </c>
      <c r="Y87" t="b">
        <v>1</v>
      </c>
      <c r="Z87" t="b">
        <v>0</v>
      </c>
    </row>
    <row r="88" spans="1:26" x14ac:dyDescent="0.25">
      <c r="A88" s="1">
        <v>46267</v>
      </c>
      <c r="B88" t="s">
        <v>468</v>
      </c>
      <c r="C88" t="s">
        <v>251</v>
      </c>
      <c r="D88" t="s">
        <v>150</v>
      </c>
      <c r="E88" s="1">
        <v>45910</v>
      </c>
      <c r="F88" s="1">
        <v>46032</v>
      </c>
      <c r="G88" s="3">
        <v>1</v>
      </c>
      <c r="H88" t="s">
        <v>474</v>
      </c>
      <c r="I88" t="s">
        <v>70</v>
      </c>
      <c r="J88" t="s">
        <v>67</v>
      </c>
      <c r="K88" t="s">
        <v>67</v>
      </c>
      <c r="L88" t="s">
        <v>67</v>
      </c>
      <c r="M88" t="s">
        <v>67</v>
      </c>
      <c r="N88" t="s">
        <v>67</v>
      </c>
      <c r="O88" t="s">
        <v>67</v>
      </c>
      <c r="P88" t="s">
        <v>67</v>
      </c>
      <c r="Q88" t="s">
        <v>480</v>
      </c>
      <c r="R88" t="s">
        <v>81</v>
      </c>
      <c r="S88" s="4">
        <v>45930</v>
      </c>
      <c r="T88" t="s">
        <v>67</v>
      </c>
      <c r="U88" t="s">
        <v>67</v>
      </c>
      <c r="V88" t="s">
        <v>67</v>
      </c>
      <c r="W88" s="2">
        <v>337</v>
      </c>
      <c r="X88" t="s">
        <v>518</v>
      </c>
      <c r="Y88" t="b">
        <v>1</v>
      </c>
      <c r="Z88" t="b">
        <v>0</v>
      </c>
    </row>
    <row r="89" spans="1:26" x14ac:dyDescent="0.25">
      <c r="A89" s="1">
        <v>46267</v>
      </c>
      <c r="B89" t="s">
        <v>493</v>
      </c>
      <c r="C89" t="s">
        <v>252</v>
      </c>
      <c r="D89" t="s">
        <v>67</v>
      </c>
      <c r="E89" s="1">
        <v>45910</v>
      </c>
      <c r="F89" s="1">
        <v>46032</v>
      </c>
      <c r="G89" s="3">
        <v>0</v>
      </c>
      <c r="H89" t="s">
        <v>83</v>
      </c>
      <c r="I89" t="s">
        <v>70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67</v>
      </c>
      <c r="Q89" t="s">
        <v>504</v>
      </c>
      <c r="R89" t="s">
        <v>81</v>
      </c>
      <c r="S89" s="4">
        <v>45930</v>
      </c>
      <c r="T89" t="s">
        <v>67</v>
      </c>
      <c r="U89" t="s">
        <v>67</v>
      </c>
      <c r="V89" t="s">
        <v>67</v>
      </c>
      <c r="W89" s="2">
        <v>337</v>
      </c>
      <c r="X89" t="s">
        <v>518</v>
      </c>
      <c r="Y89" t="b">
        <v>1</v>
      </c>
      <c r="Z89" t="b">
        <v>0</v>
      </c>
    </row>
    <row r="90" spans="1:26" x14ac:dyDescent="0.25">
      <c r="A90" s="1">
        <v>46267</v>
      </c>
      <c r="B90" t="s">
        <v>151</v>
      </c>
      <c r="C90" t="s">
        <v>253</v>
      </c>
      <c r="D90" t="s">
        <v>67</v>
      </c>
      <c r="E90" s="1">
        <v>45918</v>
      </c>
      <c r="F90" s="1">
        <v>46040</v>
      </c>
      <c r="G90" s="3">
        <v>0</v>
      </c>
      <c r="H90" t="s">
        <v>93</v>
      </c>
      <c r="I90" t="s">
        <v>70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67</v>
      </c>
      <c r="Q90" t="s">
        <v>101</v>
      </c>
      <c r="R90" t="s">
        <v>76</v>
      </c>
      <c r="S90" s="4">
        <v>46046</v>
      </c>
      <c r="T90" t="s">
        <v>67</v>
      </c>
      <c r="U90" t="s">
        <v>67</v>
      </c>
      <c r="V90" t="s">
        <v>67</v>
      </c>
      <c r="W90" s="2">
        <v>221</v>
      </c>
      <c r="X90" t="s">
        <v>518</v>
      </c>
      <c r="Y90" t="b">
        <v>1</v>
      </c>
      <c r="Z90" t="b">
        <v>0</v>
      </c>
    </row>
    <row r="91" spans="1:26" x14ac:dyDescent="0.25">
      <c r="A91" s="1">
        <v>46267</v>
      </c>
      <c r="B91" t="s">
        <v>40</v>
      </c>
      <c r="C91" t="s">
        <v>254</v>
      </c>
      <c r="D91" t="s">
        <v>67</v>
      </c>
      <c r="E91" s="1">
        <v>45918</v>
      </c>
      <c r="F91" s="1">
        <v>46040</v>
      </c>
      <c r="G91" s="3">
        <v>1</v>
      </c>
      <c r="H91" t="s">
        <v>74</v>
      </c>
      <c r="I91" t="s">
        <v>70</v>
      </c>
      <c r="J91" t="s">
        <v>67</v>
      </c>
      <c r="K91" t="s">
        <v>67</v>
      </c>
      <c r="L91" t="s">
        <v>67</v>
      </c>
      <c r="M91" t="s">
        <v>67</v>
      </c>
      <c r="N91" t="s">
        <v>67</v>
      </c>
      <c r="O91" t="s">
        <v>67</v>
      </c>
      <c r="P91" t="s">
        <v>67</v>
      </c>
      <c r="Q91" t="s">
        <v>71</v>
      </c>
      <c r="R91" t="s">
        <v>72</v>
      </c>
      <c r="S91" s="4">
        <v>46356</v>
      </c>
      <c r="T91" t="s">
        <v>67</v>
      </c>
      <c r="U91" t="s">
        <v>119</v>
      </c>
      <c r="V91" t="s">
        <v>67</v>
      </c>
      <c r="W91" s="2">
        <v>-89</v>
      </c>
      <c r="X91" t="s">
        <v>517</v>
      </c>
      <c r="Y91" t="b">
        <v>0</v>
      </c>
      <c r="Z91" t="b">
        <v>0</v>
      </c>
    </row>
    <row r="92" spans="1:26" x14ac:dyDescent="0.25">
      <c r="A92" s="1">
        <v>46267</v>
      </c>
      <c r="B92" t="s">
        <v>104</v>
      </c>
      <c r="C92" t="s">
        <v>255</v>
      </c>
      <c r="D92" t="s">
        <v>67</v>
      </c>
      <c r="E92" s="1">
        <v>45918</v>
      </c>
      <c r="F92" s="1">
        <v>46040</v>
      </c>
      <c r="G92" s="3">
        <v>1</v>
      </c>
      <c r="H92" t="s">
        <v>93</v>
      </c>
      <c r="I92" t="s">
        <v>70</v>
      </c>
      <c r="J92" t="s">
        <v>67</v>
      </c>
      <c r="K92" t="s">
        <v>67</v>
      </c>
      <c r="L92" t="s">
        <v>67</v>
      </c>
      <c r="M92" t="s">
        <v>67</v>
      </c>
      <c r="N92" t="s">
        <v>67</v>
      </c>
      <c r="O92" t="s">
        <v>67</v>
      </c>
      <c r="P92" t="s">
        <v>67</v>
      </c>
      <c r="Q92" t="s">
        <v>71</v>
      </c>
      <c r="R92" t="s">
        <v>85</v>
      </c>
      <c r="S92" s="4">
        <v>46325</v>
      </c>
      <c r="T92" t="s">
        <v>67</v>
      </c>
      <c r="U92" t="s">
        <v>67</v>
      </c>
      <c r="V92" t="s">
        <v>67</v>
      </c>
      <c r="W92" s="2">
        <v>-58</v>
      </c>
      <c r="X92" t="s">
        <v>517</v>
      </c>
      <c r="Y92" t="b">
        <v>0</v>
      </c>
      <c r="Z92" t="b">
        <v>0</v>
      </c>
    </row>
    <row r="93" spans="1:26" x14ac:dyDescent="0.25">
      <c r="A93" s="1">
        <v>46267</v>
      </c>
      <c r="B93" t="s">
        <v>122</v>
      </c>
      <c r="C93" t="s">
        <v>256</v>
      </c>
      <c r="D93" t="s">
        <v>67</v>
      </c>
      <c r="E93" s="1">
        <v>45925</v>
      </c>
      <c r="F93" s="1">
        <v>46047</v>
      </c>
      <c r="G93" s="3">
        <v>2</v>
      </c>
      <c r="H93" t="s">
        <v>80</v>
      </c>
      <c r="I93" t="s">
        <v>70</v>
      </c>
      <c r="J93" t="s">
        <v>67</v>
      </c>
      <c r="K93" t="s">
        <v>67</v>
      </c>
      <c r="L93" t="s">
        <v>67</v>
      </c>
      <c r="M93" t="s">
        <v>67</v>
      </c>
      <c r="N93" t="s">
        <v>67</v>
      </c>
      <c r="O93" t="s">
        <v>67</v>
      </c>
      <c r="P93" t="s">
        <v>67</v>
      </c>
      <c r="Q93" t="s">
        <v>97</v>
      </c>
      <c r="R93" t="s">
        <v>85</v>
      </c>
      <c r="S93" s="4">
        <v>46387</v>
      </c>
      <c r="T93" t="s">
        <v>67</v>
      </c>
      <c r="U93" t="s">
        <v>67</v>
      </c>
      <c r="V93" t="s">
        <v>67</v>
      </c>
      <c r="W93" s="2">
        <v>-120</v>
      </c>
      <c r="X93" t="s">
        <v>517</v>
      </c>
      <c r="Y93" t="b">
        <v>0</v>
      </c>
      <c r="Z93" t="b">
        <v>0</v>
      </c>
    </row>
    <row r="94" spans="1:26" x14ac:dyDescent="0.25">
      <c r="A94" s="1">
        <v>46267</v>
      </c>
      <c r="B94" t="s">
        <v>155</v>
      </c>
      <c r="C94" t="s">
        <v>257</v>
      </c>
      <c r="D94" t="s">
        <v>156</v>
      </c>
      <c r="E94" s="1">
        <v>45945</v>
      </c>
      <c r="F94" s="1">
        <v>46067</v>
      </c>
      <c r="G94" s="3">
        <v>2</v>
      </c>
      <c r="H94" t="s">
        <v>93</v>
      </c>
      <c r="I94" t="s">
        <v>70</v>
      </c>
      <c r="J94" t="s">
        <v>67</v>
      </c>
      <c r="K94" t="s">
        <v>67</v>
      </c>
      <c r="L94" t="s">
        <v>67</v>
      </c>
      <c r="M94" t="s">
        <v>67</v>
      </c>
      <c r="N94" t="s">
        <v>67</v>
      </c>
      <c r="O94" t="s">
        <v>67</v>
      </c>
      <c r="P94" t="s">
        <v>67</v>
      </c>
      <c r="Q94" t="s">
        <v>71</v>
      </c>
      <c r="R94" t="s">
        <v>76</v>
      </c>
      <c r="S94" s="4">
        <v>46326</v>
      </c>
      <c r="T94" t="s">
        <v>157</v>
      </c>
      <c r="U94" t="s">
        <v>67</v>
      </c>
      <c r="V94" t="s">
        <v>67</v>
      </c>
      <c r="W94" s="2">
        <v>-59</v>
      </c>
      <c r="X94" t="s">
        <v>517</v>
      </c>
      <c r="Y94" t="b">
        <v>0</v>
      </c>
      <c r="Z94" t="b">
        <v>0</v>
      </c>
    </row>
    <row r="95" spans="1:26" x14ac:dyDescent="0.25">
      <c r="A95" s="1">
        <v>46267</v>
      </c>
      <c r="B95" t="s">
        <v>164</v>
      </c>
      <c r="C95" t="s">
        <v>258</v>
      </c>
      <c r="D95" t="s">
        <v>67</v>
      </c>
      <c r="E95" s="1">
        <v>45971</v>
      </c>
      <c r="F95" s="1">
        <v>46093</v>
      </c>
      <c r="G95" s="3">
        <v>1</v>
      </c>
      <c r="H95" t="s">
        <v>89</v>
      </c>
      <c r="I95" t="s">
        <v>70</v>
      </c>
      <c r="J95" t="s">
        <v>67</v>
      </c>
      <c r="K95" t="s">
        <v>67</v>
      </c>
      <c r="L95" t="s">
        <v>67</v>
      </c>
      <c r="M95" t="s">
        <v>67</v>
      </c>
      <c r="N95" t="s">
        <v>67</v>
      </c>
      <c r="O95" t="s">
        <v>67</v>
      </c>
      <c r="P95" t="s">
        <v>67</v>
      </c>
      <c r="Q95" t="s">
        <v>84</v>
      </c>
      <c r="R95" t="s">
        <v>81</v>
      </c>
      <c r="S95" s="4">
        <v>46265</v>
      </c>
      <c r="T95" t="s">
        <v>67</v>
      </c>
      <c r="U95" t="s">
        <v>67</v>
      </c>
      <c r="V95" t="s">
        <v>67</v>
      </c>
      <c r="W95" s="2">
        <v>2</v>
      </c>
      <c r="X95" t="s">
        <v>518</v>
      </c>
      <c r="Y95" t="b">
        <v>1</v>
      </c>
      <c r="Z95" t="b">
        <v>0</v>
      </c>
    </row>
    <row r="96" spans="1:26" x14ac:dyDescent="0.25">
      <c r="A96" s="1">
        <v>46267</v>
      </c>
      <c r="B96" t="s">
        <v>165</v>
      </c>
      <c r="C96" t="s">
        <v>259</v>
      </c>
      <c r="D96" t="s">
        <v>67</v>
      </c>
      <c r="E96" s="1">
        <v>45978</v>
      </c>
      <c r="F96" s="1">
        <v>46100</v>
      </c>
      <c r="G96" s="3">
        <v>1</v>
      </c>
      <c r="H96" t="s">
        <v>83</v>
      </c>
      <c r="I96" t="s">
        <v>70</v>
      </c>
      <c r="J96" t="s">
        <v>67</v>
      </c>
      <c r="K96" t="s">
        <v>67</v>
      </c>
      <c r="L96" t="s">
        <v>67</v>
      </c>
      <c r="M96" t="s">
        <v>67</v>
      </c>
      <c r="N96" t="s">
        <v>67</v>
      </c>
      <c r="O96" t="s">
        <v>67</v>
      </c>
      <c r="P96" t="s">
        <v>67</v>
      </c>
      <c r="Q96" t="s">
        <v>75</v>
      </c>
      <c r="R96" t="s">
        <v>81</v>
      </c>
      <c r="S96" s="4">
        <v>46111</v>
      </c>
      <c r="T96" t="s">
        <v>67</v>
      </c>
      <c r="U96" t="s">
        <v>67</v>
      </c>
      <c r="V96" t="s">
        <v>67</v>
      </c>
      <c r="W96" s="2">
        <v>156</v>
      </c>
      <c r="X96" t="s">
        <v>518</v>
      </c>
      <c r="Y96" t="b">
        <v>1</v>
      </c>
      <c r="Z96" t="b">
        <v>0</v>
      </c>
    </row>
  </sheetData>
  <conditionalFormatting sqref="W2:W1048576">
    <cfRule type="cellIs" dxfId="15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91E3-A4F1-4614-A1B5-0E2C0A5E5F29}">
  <dimension ref="A1:R40"/>
  <sheetViews>
    <sheetView workbookViewId="0">
      <selection sqref="A1:R40"/>
    </sheetView>
  </sheetViews>
  <sheetFormatPr defaultRowHeight="15" x14ac:dyDescent="0.25"/>
  <cols>
    <col min="1" max="1" width="19" style="5" bestFit="1" customWidth="1"/>
    <col min="2" max="2" width="19.85546875" bestFit="1" customWidth="1"/>
    <col min="3" max="3" width="32" bestFit="1" customWidth="1"/>
    <col min="4" max="5" width="16" style="5" bestFit="1" customWidth="1"/>
    <col min="6" max="6" width="10.42578125" bestFit="1" customWidth="1"/>
    <col min="7" max="7" width="20.5703125" bestFit="1" customWidth="1"/>
    <col min="8" max="8" width="13.5703125" style="5" bestFit="1" customWidth="1"/>
    <col min="9" max="9" width="15.140625" style="2" bestFit="1" customWidth="1"/>
    <col min="10" max="10" width="10.7109375" bestFit="1" customWidth="1"/>
    <col min="11" max="11" width="18.42578125" bestFit="1" customWidth="1"/>
    <col min="12" max="12" width="15.7109375" bestFit="1" customWidth="1"/>
    <col min="13" max="13" width="13.7109375" bestFit="1" customWidth="1"/>
    <col min="14" max="14" width="16.42578125" bestFit="1" customWidth="1"/>
    <col min="15" max="15" width="24" bestFit="1" customWidth="1"/>
    <col min="16" max="16" width="12.7109375" bestFit="1" customWidth="1"/>
    <col min="17" max="17" width="12.5703125" style="3" bestFit="1" customWidth="1"/>
    <col min="18" max="18" width="16.7109375" style="3" bestFit="1" customWidth="1"/>
  </cols>
  <sheetData>
    <row r="1" spans="1:18" x14ac:dyDescent="0.25">
      <c r="A1" s="5" t="s">
        <v>520</v>
      </c>
      <c r="B1" t="s">
        <v>325</v>
      </c>
      <c r="C1" t="s">
        <v>1</v>
      </c>
      <c r="D1" s="5" t="s">
        <v>3</v>
      </c>
      <c r="E1" s="5" t="s">
        <v>54</v>
      </c>
      <c r="F1" t="s">
        <v>327</v>
      </c>
      <c r="G1" t="s">
        <v>4</v>
      </c>
      <c r="H1" s="5" t="s">
        <v>328</v>
      </c>
      <c r="I1" s="2" t="s">
        <v>329</v>
      </c>
      <c r="J1" t="s">
        <v>330</v>
      </c>
      <c r="K1" t="s">
        <v>5</v>
      </c>
      <c r="L1" t="s">
        <v>331</v>
      </c>
      <c r="M1" t="s">
        <v>332</v>
      </c>
      <c r="N1" t="s">
        <v>333</v>
      </c>
      <c r="O1" t="s">
        <v>515</v>
      </c>
      <c r="P1" t="s">
        <v>516</v>
      </c>
      <c r="Q1" t="s">
        <v>49</v>
      </c>
      <c r="R1" t="s">
        <v>50</v>
      </c>
    </row>
    <row r="2" spans="1:18" x14ac:dyDescent="0.25">
      <c r="A2" s="5">
        <v>46267</v>
      </c>
      <c r="B2" t="s">
        <v>334</v>
      </c>
      <c r="C2" t="s">
        <v>335</v>
      </c>
      <c r="D2" s="5">
        <v>44734</v>
      </c>
      <c r="E2" s="5">
        <v>44764</v>
      </c>
      <c r="F2" t="s">
        <v>336</v>
      </c>
      <c r="G2" t="s">
        <v>337</v>
      </c>
      <c r="H2" s="5">
        <v>44778</v>
      </c>
      <c r="I2" s="2">
        <v>4</v>
      </c>
      <c r="J2" t="s">
        <v>338</v>
      </c>
      <c r="K2" t="s">
        <v>101</v>
      </c>
      <c r="L2" t="s">
        <v>339</v>
      </c>
      <c r="M2" t="s">
        <v>340</v>
      </c>
      <c r="N2" t="s">
        <v>341</v>
      </c>
      <c r="O2" s="3">
        <v>1489</v>
      </c>
      <c r="P2" t="s">
        <v>518</v>
      </c>
      <c r="Q2" t="b">
        <v>0</v>
      </c>
      <c r="R2" t="b">
        <v>0</v>
      </c>
    </row>
    <row r="3" spans="1:18" x14ac:dyDescent="0.25">
      <c r="A3" s="5">
        <v>46267</v>
      </c>
      <c r="B3" t="s">
        <v>426</v>
      </c>
      <c r="C3" t="s">
        <v>354</v>
      </c>
      <c r="D3" s="5">
        <v>46227</v>
      </c>
      <c r="E3" s="5">
        <v>46257</v>
      </c>
      <c r="F3" t="s">
        <v>211</v>
      </c>
      <c r="G3" t="s">
        <v>391</v>
      </c>
      <c r="H3" s="5">
        <v>46250</v>
      </c>
      <c r="I3" s="2">
        <v>0</v>
      </c>
      <c r="J3" t="s">
        <v>338</v>
      </c>
      <c r="K3" t="s">
        <v>97</v>
      </c>
      <c r="L3" t="s">
        <v>427</v>
      </c>
      <c r="M3" t="s">
        <v>428</v>
      </c>
      <c r="N3" t="s">
        <v>358</v>
      </c>
      <c r="O3" s="3">
        <v>17</v>
      </c>
      <c r="P3" t="s">
        <v>518</v>
      </c>
      <c r="Q3" t="b">
        <v>0</v>
      </c>
      <c r="R3" t="b">
        <v>0</v>
      </c>
    </row>
    <row r="4" spans="1:18" x14ac:dyDescent="0.25">
      <c r="A4" s="5">
        <v>46267</v>
      </c>
      <c r="B4" t="s">
        <v>429</v>
      </c>
      <c r="C4" t="s">
        <v>360</v>
      </c>
      <c r="D4" s="5">
        <v>46231</v>
      </c>
      <c r="E4" s="5">
        <v>46261</v>
      </c>
      <c r="F4" t="s">
        <v>172</v>
      </c>
      <c r="G4" t="s">
        <v>391</v>
      </c>
      <c r="H4" s="5">
        <v>46251</v>
      </c>
      <c r="I4" s="2">
        <v>0</v>
      </c>
      <c r="J4" t="s">
        <v>338</v>
      </c>
      <c r="K4" t="s">
        <v>84</v>
      </c>
      <c r="L4" t="s">
        <v>430</v>
      </c>
      <c r="M4" t="s">
        <v>431</v>
      </c>
      <c r="N4" t="s">
        <v>352</v>
      </c>
      <c r="O4" s="3">
        <v>16</v>
      </c>
      <c r="P4" t="s">
        <v>518</v>
      </c>
      <c r="Q4" t="b">
        <v>0</v>
      </c>
      <c r="R4" t="b">
        <v>0</v>
      </c>
    </row>
    <row r="5" spans="1:18" x14ac:dyDescent="0.25">
      <c r="A5" s="5">
        <v>46267</v>
      </c>
      <c r="B5" t="s">
        <v>432</v>
      </c>
      <c r="C5" t="s">
        <v>349</v>
      </c>
      <c r="D5" s="5">
        <v>46232</v>
      </c>
      <c r="E5" s="5">
        <v>46262</v>
      </c>
      <c r="F5" t="s">
        <v>164</v>
      </c>
      <c r="G5" t="s">
        <v>391</v>
      </c>
      <c r="H5" s="5">
        <v>46253</v>
      </c>
      <c r="I5" s="2">
        <v>0</v>
      </c>
      <c r="J5" t="s">
        <v>338</v>
      </c>
      <c r="K5" t="s">
        <v>84</v>
      </c>
      <c r="L5" t="s">
        <v>433</v>
      </c>
      <c r="M5" t="s">
        <v>370</v>
      </c>
      <c r="N5" t="s">
        <v>341</v>
      </c>
      <c r="O5" s="3">
        <v>14</v>
      </c>
      <c r="P5" t="s">
        <v>518</v>
      </c>
      <c r="Q5" t="b">
        <v>0</v>
      </c>
      <c r="R5" t="b">
        <v>0</v>
      </c>
    </row>
    <row r="6" spans="1:18" x14ac:dyDescent="0.25">
      <c r="A6" s="5">
        <v>46267</v>
      </c>
      <c r="B6" t="s">
        <v>434</v>
      </c>
      <c r="C6" t="s">
        <v>335</v>
      </c>
      <c r="D6" s="5">
        <v>46232</v>
      </c>
      <c r="E6" s="5">
        <v>46262</v>
      </c>
      <c r="F6" t="s">
        <v>209</v>
      </c>
      <c r="G6" t="s">
        <v>337</v>
      </c>
      <c r="H6" s="5">
        <v>46249</v>
      </c>
      <c r="I6" s="2">
        <v>0</v>
      </c>
      <c r="J6" t="s">
        <v>338</v>
      </c>
      <c r="K6" t="s">
        <v>355</v>
      </c>
      <c r="L6" t="s">
        <v>435</v>
      </c>
      <c r="M6" t="s">
        <v>436</v>
      </c>
      <c r="N6" t="s">
        <v>341</v>
      </c>
      <c r="O6" s="3">
        <v>18</v>
      </c>
      <c r="P6" t="s">
        <v>518</v>
      </c>
      <c r="Q6" t="b">
        <v>0</v>
      </c>
      <c r="R6" t="b">
        <v>0</v>
      </c>
    </row>
    <row r="7" spans="1:18" x14ac:dyDescent="0.25">
      <c r="A7" s="5">
        <v>46267</v>
      </c>
      <c r="B7" t="s">
        <v>437</v>
      </c>
      <c r="C7" t="s">
        <v>360</v>
      </c>
      <c r="D7" s="5">
        <v>46232</v>
      </c>
      <c r="E7" s="5">
        <v>46262</v>
      </c>
      <c r="F7" t="s">
        <v>86</v>
      </c>
      <c r="G7" t="s">
        <v>391</v>
      </c>
      <c r="H7" s="5">
        <v>46253</v>
      </c>
      <c r="I7" s="2">
        <v>0</v>
      </c>
      <c r="J7" t="s">
        <v>338</v>
      </c>
      <c r="K7" t="s">
        <v>84</v>
      </c>
      <c r="L7" t="s">
        <v>438</v>
      </c>
      <c r="M7" t="s">
        <v>439</v>
      </c>
      <c r="N7" t="s">
        <v>341</v>
      </c>
      <c r="O7" s="3">
        <v>14</v>
      </c>
      <c r="P7" t="s">
        <v>518</v>
      </c>
      <c r="Q7" t="b">
        <v>0</v>
      </c>
      <c r="R7" t="b">
        <v>0</v>
      </c>
    </row>
    <row r="8" spans="1:18" x14ac:dyDescent="0.25">
      <c r="A8" s="5">
        <v>46267</v>
      </c>
      <c r="B8" t="s">
        <v>440</v>
      </c>
      <c r="C8" t="s">
        <v>343</v>
      </c>
      <c r="D8" s="5">
        <v>46234</v>
      </c>
      <c r="E8" s="5">
        <v>46264</v>
      </c>
      <c r="F8" t="s">
        <v>103</v>
      </c>
      <c r="G8" t="s">
        <v>344</v>
      </c>
      <c r="H8" s="5">
        <v>46254</v>
      </c>
      <c r="I8" s="2">
        <v>0</v>
      </c>
      <c r="J8" t="s">
        <v>338</v>
      </c>
      <c r="K8" t="s">
        <v>101</v>
      </c>
      <c r="L8" t="s">
        <v>441</v>
      </c>
      <c r="M8" t="s">
        <v>442</v>
      </c>
      <c r="N8" t="s">
        <v>358</v>
      </c>
      <c r="O8" s="3">
        <v>13</v>
      </c>
      <c r="P8" t="s">
        <v>518</v>
      </c>
      <c r="Q8" t="b">
        <v>0</v>
      </c>
      <c r="R8" t="b">
        <v>0</v>
      </c>
    </row>
    <row r="9" spans="1:18" x14ac:dyDescent="0.25">
      <c r="A9" s="5">
        <v>46267</v>
      </c>
      <c r="B9" t="s">
        <v>443</v>
      </c>
      <c r="C9" t="s">
        <v>378</v>
      </c>
      <c r="D9" s="5">
        <v>46240</v>
      </c>
      <c r="E9" s="5">
        <v>46270</v>
      </c>
      <c r="F9" t="s">
        <v>186</v>
      </c>
      <c r="G9" t="s">
        <v>344</v>
      </c>
      <c r="H9" s="5">
        <v>46261</v>
      </c>
      <c r="I9" s="2">
        <v>0</v>
      </c>
      <c r="J9" t="s">
        <v>338</v>
      </c>
      <c r="K9" t="s">
        <v>355</v>
      </c>
      <c r="L9" t="s">
        <v>444</v>
      </c>
      <c r="M9" t="s">
        <v>445</v>
      </c>
      <c r="N9" t="s">
        <v>347</v>
      </c>
      <c r="O9" s="3">
        <v>6</v>
      </c>
      <c r="P9" t="s">
        <v>518</v>
      </c>
      <c r="Q9" t="b">
        <v>0</v>
      </c>
      <c r="R9" t="b">
        <v>0</v>
      </c>
    </row>
    <row r="10" spans="1:18" x14ac:dyDescent="0.25">
      <c r="A10" s="5">
        <v>46267</v>
      </c>
      <c r="B10" t="s">
        <v>424</v>
      </c>
      <c r="C10" t="s">
        <v>354</v>
      </c>
      <c r="D10" s="5">
        <v>46225</v>
      </c>
      <c r="E10" s="5">
        <v>46255</v>
      </c>
      <c r="F10" t="s">
        <v>79</v>
      </c>
      <c r="G10" t="s">
        <v>391</v>
      </c>
      <c r="H10" s="5">
        <v>46247</v>
      </c>
      <c r="I10" s="2">
        <v>0</v>
      </c>
      <c r="J10" t="s">
        <v>338</v>
      </c>
      <c r="K10" t="s">
        <v>84</v>
      </c>
      <c r="L10" t="s">
        <v>425</v>
      </c>
      <c r="M10" t="s">
        <v>410</v>
      </c>
      <c r="N10" t="s">
        <v>358</v>
      </c>
      <c r="O10" s="3">
        <v>20</v>
      </c>
      <c r="P10" t="s">
        <v>518</v>
      </c>
      <c r="Q10" t="b">
        <v>0</v>
      </c>
      <c r="R10" t="b">
        <v>0</v>
      </c>
    </row>
    <row r="11" spans="1:18" x14ac:dyDescent="0.25">
      <c r="A11" s="5">
        <v>46267</v>
      </c>
      <c r="B11" t="s">
        <v>446</v>
      </c>
      <c r="C11" t="s">
        <v>335</v>
      </c>
      <c r="D11" s="5">
        <v>46246</v>
      </c>
      <c r="E11" s="5">
        <v>46276</v>
      </c>
      <c r="F11" t="s">
        <v>143</v>
      </c>
      <c r="G11" t="s">
        <v>361</v>
      </c>
      <c r="H11" s="5">
        <v>46266</v>
      </c>
      <c r="I11" s="2">
        <v>0</v>
      </c>
      <c r="J11" t="s">
        <v>338</v>
      </c>
      <c r="K11" t="s">
        <v>75</v>
      </c>
      <c r="L11" t="s">
        <v>447</v>
      </c>
      <c r="M11" t="s">
        <v>448</v>
      </c>
      <c r="N11" t="s">
        <v>352</v>
      </c>
      <c r="O11" s="3">
        <v>1</v>
      </c>
      <c r="P11" t="s">
        <v>518</v>
      </c>
      <c r="Q11" t="b">
        <v>0</v>
      </c>
      <c r="R11" t="b">
        <v>0</v>
      </c>
    </row>
    <row r="12" spans="1:18" x14ac:dyDescent="0.25">
      <c r="A12" s="5">
        <v>46267</v>
      </c>
      <c r="B12" t="s">
        <v>449</v>
      </c>
      <c r="C12" t="s">
        <v>349</v>
      </c>
      <c r="D12" s="5">
        <v>46246</v>
      </c>
      <c r="E12" s="5">
        <v>46276</v>
      </c>
      <c r="F12" t="s">
        <v>98</v>
      </c>
      <c r="G12" t="s">
        <v>344</v>
      </c>
      <c r="H12" s="5">
        <v>46247</v>
      </c>
      <c r="I12" s="2">
        <v>0</v>
      </c>
      <c r="J12" t="s">
        <v>67</v>
      </c>
      <c r="K12" t="s">
        <v>101</v>
      </c>
      <c r="L12" t="s">
        <v>450</v>
      </c>
      <c r="M12" t="s">
        <v>451</v>
      </c>
      <c r="N12" t="s">
        <v>352</v>
      </c>
      <c r="O12" s="3">
        <v>20</v>
      </c>
      <c r="P12" t="s">
        <v>518</v>
      </c>
      <c r="Q12" t="b">
        <v>0</v>
      </c>
      <c r="R12" t="b">
        <v>0</v>
      </c>
    </row>
    <row r="13" spans="1:18" x14ac:dyDescent="0.25">
      <c r="A13" s="5">
        <v>46267</v>
      </c>
      <c r="B13" t="s">
        <v>452</v>
      </c>
      <c r="C13" t="s">
        <v>335</v>
      </c>
      <c r="D13" s="5">
        <v>46246</v>
      </c>
      <c r="E13" s="5">
        <v>46276</v>
      </c>
      <c r="F13" t="s">
        <v>453</v>
      </c>
      <c r="G13" t="s">
        <v>337</v>
      </c>
      <c r="H13" s="5">
        <v>46266</v>
      </c>
      <c r="I13" s="2">
        <v>0</v>
      </c>
      <c r="J13" t="s">
        <v>338</v>
      </c>
      <c r="K13" t="s">
        <v>84</v>
      </c>
      <c r="L13" t="s">
        <v>454</v>
      </c>
      <c r="M13" t="s">
        <v>455</v>
      </c>
      <c r="N13" t="s">
        <v>341</v>
      </c>
      <c r="O13" s="3">
        <v>1</v>
      </c>
      <c r="P13" t="s">
        <v>518</v>
      </c>
      <c r="Q13" t="b">
        <v>0</v>
      </c>
      <c r="R13" t="b">
        <v>0</v>
      </c>
    </row>
    <row r="14" spans="1:18" x14ac:dyDescent="0.25">
      <c r="A14" s="5">
        <v>46267</v>
      </c>
      <c r="B14" t="s">
        <v>456</v>
      </c>
      <c r="C14" t="s">
        <v>360</v>
      </c>
      <c r="D14" s="5">
        <v>46247</v>
      </c>
      <c r="E14" s="5">
        <v>46277</v>
      </c>
      <c r="F14" t="s">
        <v>117</v>
      </c>
      <c r="G14" t="s">
        <v>361</v>
      </c>
      <c r="H14" s="5">
        <v>46262</v>
      </c>
      <c r="I14" s="2">
        <v>0</v>
      </c>
      <c r="J14" t="s">
        <v>338</v>
      </c>
      <c r="K14" t="s">
        <v>71</v>
      </c>
      <c r="L14" t="s">
        <v>457</v>
      </c>
      <c r="M14" t="s">
        <v>418</v>
      </c>
      <c r="N14" t="s">
        <v>358</v>
      </c>
      <c r="O14" s="3">
        <v>5</v>
      </c>
      <c r="P14" t="s">
        <v>518</v>
      </c>
      <c r="Q14" t="b">
        <v>0</v>
      </c>
      <c r="R14" t="b">
        <v>0</v>
      </c>
    </row>
    <row r="15" spans="1:18" x14ac:dyDescent="0.25">
      <c r="A15" s="5">
        <v>46267</v>
      </c>
      <c r="B15" t="s">
        <v>458</v>
      </c>
      <c r="C15" t="s">
        <v>354</v>
      </c>
      <c r="D15" s="5">
        <v>46248</v>
      </c>
      <c r="E15" s="5">
        <v>46278</v>
      </c>
      <c r="F15" t="s">
        <v>197</v>
      </c>
      <c r="G15" t="s">
        <v>344</v>
      </c>
      <c r="H15" s="5">
        <v>46268</v>
      </c>
      <c r="I15" s="2">
        <v>0</v>
      </c>
      <c r="J15" t="s">
        <v>338</v>
      </c>
      <c r="K15" t="s">
        <v>71</v>
      </c>
      <c r="L15" t="s">
        <v>459</v>
      </c>
      <c r="M15" t="s">
        <v>363</v>
      </c>
      <c r="N15" t="s">
        <v>347</v>
      </c>
      <c r="O15" s="3">
        <v>-1</v>
      </c>
      <c r="P15" t="s">
        <v>517</v>
      </c>
      <c r="Q15" t="b">
        <v>0</v>
      </c>
      <c r="R15" t="b">
        <v>1</v>
      </c>
    </row>
    <row r="16" spans="1:18" x14ac:dyDescent="0.25">
      <c r="A16" s="5">
        <v>46267</v>
      </c>
      <c r="B16" t="s">
        <v>460</v>
      </c>
      <c r="C16" t="s">
        <v>360</v>
      </c>
      <c r="D16" s="5">
        <v>46252</v>
      </c>
      <c r="E16" s="5">
        <v>46282</v>
      </c>
      <c r="F16" t="s">
        <v>73</v>
      </c>
      <c r="G16" t="s">
        <v>391</v>
      </c>
      <c r="H16" s="5">
        <v>46275</v>
      </c>
      <c r="I16" s="2">
        <v>0</v>
      </c>
      <c r="J16" t="s">
        <v>338</v>
      </c>
      <c r="K16" t="s">
        <v>84</v>
      </c>
      <c r="L16" t="s">
        <v>461</v>
      </c>
      <c r="M16" t="s">
        <v>373</v>
      </c>
      <c r="N16" t="s">
        <v>341</v>
      </c>
      <c r="O16" s="3">
        <v>-8</v>
      </c>
      <c r="P16" t="s">
        <v>517</v>
      </c>
      <c r="Q16" t="b">
        <v>0</v>
      </c>
      <c r="R16" t="b">
        <v>0</v>
      </c>
    </row>
    <row r="17" spans="1:18" x14ac:dyDescent="0.25">
      <c r="A17" s="5">
        <v>46267</v>
      </c>
      <c r="B17" t="s">
        <v>462</v>
      </c>
      <c r="C17" t="s">
        <v>378</v>
      </c>
      <c r="D17" s="5">
        <v>46258</v>
      </c>
      <c r="E17" s="5">
        <v>46288</v>
      </c>
      <c r="F17" t="s">
        <v>201</v>
      </c>
      <c r="G17" t="s">
        <v>391</v>
      </c>
      <c r="H17" s="5">
        <v>46278</v>
      </c>
      <c r="I17" s="2">
        <v>0</v>
      </c>
      <c r="J17" t="s">
        <v>338</v>
      </c>
      <c r="K17" t="s">
        <v>71</v>
      </c>
      <c r="L17" t="s">
        <v>463</v>
      </c>
      <c r="M17" t="s">
        <v>442</v>
      </c>
      <c r="N17" t="s">
        <v>347</v>
      </c>
      <c r="O17" s="3">
        <v>-11</v>
      </c>
      <c r="P17" t="s">
        <v>517</v>
      </c>
      <c r="Q17" t="b">
        <v>0</v>
      </c>
      <c r="R17" t="b">
        <v>0</v>
      </c>
    </row>
    <row r="18" spans="1:18" x14ac:dyDescent="0.25">
      <c r="A18" s="5">
        <v>46267</v>
      </c>
      <c r="B18" t="s">
        <v>422</v>
      </c>
      <c r="C18" t="s">
        <v>354</v>
      </c>
      <c r="D18" s="5">
        <v>46224</v>
      </c>
      <c r="E18" s="5">
        <v>46254</v>
      </c>
      <c r="F18" t="s">
        <v>147</v>
      </c>
      <c r="G18" t="s">
        <v>344</v>
      </c>
      <c r="H18" s="5">
        <v>46235</v>
      </c>
      <c r="I18" s="2">
        <v>0</v>
      </c>
      <c r="J18" t="s">
        <v>338</v>
      </c>
      <c r="K18" t="s">
        <v>84</v>
      </c>
      <c r="L18" t="s">
        <v>423</v>
      </c>
      <c r="M18" t="s">
        <v>402</v>
      </c>
      <c r="N18" t="s">
        <v>347</v>
      </c>
      <c r="O18" s="3">
        <v>32</v>
      </c>
      <c r="P18" t="s">
        <v>518</v>
      </c>
      <c r="Q18" t="b">
        <v>0</v>
      </c>
      <c r="R18" t="b">
        <v>0</v>
      </c>
    </row>
    <row r="19" spans="1:18" x14ac:dyDescent="0.25">
      <c r="A19" s="5">
        <v>46267</v>
      </c>
      <c r="B19" t="s">
        <v>419</v>
      </c>
      <c r="C19" t="s">
        <v>349</v>
      </c>
      <c r="D19" s="5">
        <v>46223</v>
      </c>
      <c r="E19" s="5">
        <v>46253</v>
      </c>
      <c r="F19" t="s">
        <v>165</v>
      </c>
      <c r="G19" t="s">
        <v>379</v>
      </c>
      <c r="H19" s="5">
        <v>46244</v>
      </c>
      <c r="I19" s="2">
        <v>0</v>
      </c>
      <c r="J19" t="s">
        <v>338</v>
      </c>
      <c r="K19" t="s">
        <v>75</v>
      </c>
      <c r="L19" t="s">
        <v>420</v>
      </c>
      <c r="M19" t="s">
        <v>421</v>
      </c>
      <c r="N19" t="s">
        <v>341</v>
      </c>
      <c r="O19" s="3">
        <v>23</v>
      </c>
      <c r="P19" t="s">
        <v>518</v>
      </c>
      <c r="Q19" t="b">
        <v>0</v>
      </c>
      <c r="R19" t="b">
        <v>0</v>
      </c>
    </row>
    <row r="20" spans="1:18" x14ac:dyDescent="0.25">
      <c r="A20" s="5">
        <v>46267</v>
      </c>
      <c r="B20" t="s">
        <v>416</v>
      </c>
      <c r="C20" t="s">
        <v>343</v>
      </c>
      <c r="D20" s="5">
        <v>46223</v>
      </c>
      <c r="E20" s="5">
        <v>46253</v>
      </c>
      <c r="F20" t="s">
        <v>32</v>
      </c>
      <c r="G20" t="s">
        <v>391</v>
      </c>
      <c r="H20" s="5">
        <v>46244</v>
      </c>
      <c r="I20" s="2">
        <v>0</v>
      </c>
      <c r="J20" t="s">
        <v>338</v>
      </c>
      <c r="K20" t="s">
        <v>84</v>
      </c>
      <c r="L20" t="s">
        <v>417</v>
      </c>
      <c r="M20" t="s">
        <v>418</v>
      </c>
      <c r="N20" t="s">
        <v>341</v>
      </c>
      <c r="O20" s="3">
        <v>23</v>
      </c>
      <c r="P20" t="s">
        <v>518</v>
      </c>
      <c r="Q20" t="b">
        <v>0</v>
      </c>
      <c r="R20" t="b">
        <v>0</v>
      </c>
    </row>
    <row r="21" spans="1:18" x14ac:dyDescent="0.25">
      <c r="A21" s="5">
        <v>46267</v>
      </c>
      <c r="B21" t="s">
        <v>348</v>
      </c>
      <c r="C21" t="s">
        <v>349</v>
      </c>
      <c r="D21" s="5">
        <v>45560</v>
      </c>
      <c r="E21" s="5">
        <v>45590</v>
      </c>
      <c r="F21" t="s">
        <v>105</v>
      </c>
      <c r="G21" t="s">
        <v>337</v>
      </c>
      <c r="H21" s="5">
        <v>45561</v>
      </c>
      <c r="I21" s="2">
        <v>0</v>
      </c>
      <c r="J21" t="s">
        <v>67</v>
      </c>
      <c r="K21" t="s">
        <v>519</v>
      </c>
      <c r="L21" t="s">
        <v>350</v>
      </c>
      <c r="M21" t="s">
        <v>351</v>
      </c>
      <c r="N21" t="s">
        <v>352</v>
      </c>
      <c r="O21" s="3">
        <v>706</v>
      </c>
      <c r="P21" t="s">
        <v>518</v>
      </c>
      <c r="Q21" t="b">
        <v>0</v>
      </c>
      <c r="R21" t="b">
        <v>0</v>
      </c>
    </row>
    <row r="22" spans="1:18" x14ac:dyDescent="0.25">
      <c r="A22" s="5">
        <v>46267</v>
      </c>
      <c r="B22" t="s">
        <v>342</v>
      </c>
      <c r="C22" t="s">
        <v>343</v>
      </c>
      <c r="D22" s="5">
        <v>44747</v>
      </c>
      <c r="E22" s="5">
        <v>44777</v>
      </c>
      <c r="F22" t="s">
        <v>17</v>
      </c>
      <c r="G22" t="s">
        <v>344</v>
      </c>
      <c r="H22" s="5">
        <v>44939</v>
      </c>
      <c r="I22" s="2">
        <v>8</v>
      </c>
      <c r="J22" t="s">
        <v>338</v>
      </c>
      <c r="K22" t="s">
        <v>75</v>
      </c>
      <c r="L22" t="s">
        <v>345</v>
      </c>
      <c r="M22" t="s">
        <v>346</v>
      </c>
      <c r="N22" t="s">
        <v>347</v>
      </c>
      <c r="O22" s="3">
        <v>1328</v>
      </c>
      <c r="P22" t="s">
        <v>518</v>
      </c>
      <c r="Q22" t="b">
        <v>0</v>
      </c>
      <c r="R22" t="b">
        <v>0</v>
      </c>
    </row>
    <row r="23" spans="1:18" x14ac:dyDescent="0.25">
      <c r="A23" s="5">
        <v>46267</v>
      </c>
      <c r="B23" t="s">
        <v>353</v>
      </c>
      <c r="C23" t="s">
        <v>354</v>
      </c>
      <c r="D23" s="5">
        <v>45674</v>
      </c>
      <c r="E23" s="5">
        <v>45704</v>
      </c>
      <c r="F23" t="s">
        <v>198</v>
      </c>
      <c r="G23" t="s">
        <v>337</v>
      </c>
      <c r="H23" s="5">
        <v>46195</v>
      </c>
      <c r="I23" s="2">
        <v>2</v>
      </c>
      <c r="J23" t="s">
        <v>338</v>
      </c>
      <c r="K23" t="s">
        <v>355</v>
      </c>
      <c r="L23" t="s">
        <v>356</v>
      </c>
      <c r="M23" t="s">
        <v>357</v>
      </c>
      <c r="N23" t="s">
        <v>358</v>
      </c>
      <c r="O23" s="3">
        <v>72</v>
      </c>
      <c r="P23" t="s">
        <v>518</v>
      </c>
      <c r="Q23" t="b">
        <v>0</v>
      </c>
      <c r="R23" t="b">
        <v>0</v>
      </c>
    </row>
    <row r="24" spans="1:18" x14ac:dyDescent="0.25">
      <c r="A24" s="5">
        <v>46267</v>
      </c>
      <c r="B24" t="s">
        <v>359</v>
      </c>
      <c r="C24" t="s">
        <v>360</v>
      </c>
      <c r="D24" s="5">
        <v>45718</v>
      </c>
      <c r="E24" s="5">
        <v>45748</v>
      </c>
      <c r="F24" t="s">
        <v>162</v>
      </c>
      <c r="G24" t="s">
        <v>361</v>
      </c>
      <c r="H24" s="5">
        <v>46082</v>
      </c>
      <c r="I24" s="2">
        <v>0</v>
      </c>
      <c r="J24" t="s">
        <v>338</v>
      </c>
      <c r="K24" t="s">
        <v>101</v>
      </c>
      <c r="L24" t="s">
        <v>362</v>
      </c>
      <c r="M24" t="s">
        <v>363</v>
      </c>
      <c r="N24" t="s">
        <v>352</v>
      </c>
      <c r="O24" s="3">
        <v>185</v>
      </c>
      <c r="P24" t="s">
        <v>518</v>
      </c>
      <c r="Q24" t="b">
        <v>0</v>
      </c>
      <c r="R24" t="b">
        <v>0</v>
      </c>
    </row>
    <row r="25" spans="1:18" x14ac:dyDescent="0.25">
      <c r="A25" s="5">
        <v>46267</v>
      </c>
      <c r="B25" t="s">
        <v>364</v>
      </c>
      <c r="C25" t="s">
        <v>349</v>
      </c>
      <c r="D25" s="5">
        <v>45854</v>
      </c>
      <c r="E25" s="5">
        <v>45884</v>
      </c>
      <c r="F25" t="s">
        <v>46</v>
      </c>
      <c r="G25" t="s">
        <v>361</v>
      </c>
      <c r="H25" s="5">
        <v>46073</v>
      </c>
      <c r="I25" s="2">
        <v>1</v>
      </c>
      <c r="J25" t="s">
        <v>338</v>
      </c>
      <c r="K25" t="s">
        <v>71</v>
      </c>
      <c r="L25" t="s">
        <v>365</v>
      </c>
      <c r="M25" t="s">
        <v>366</v>
      </c>
      <c r="N25" t="s">
        <v>352</v>
      </c>
      <c r="O25" s="3">
        <v>194</v>
      </c>
      <c r="P25" t="s">
        <v>518</v>
      </c>
      <c r="Q25" t="b">
        <v>0</v>
      </c>
      <c r="R25" t="b">
        <v>0</v>
      </c>
    </row>
    <row r="26" spans="1:18" x14ac:dyDescent="0.25">
      <c r="A26" s="5">
        <v>46267</v>
      </c>
      <c r="B26" t="s">
        <v>367</v>
      </c>
      <c r="C26" t="s">
        <v>354</v>
      </c>
      <c r="D26" s="5">
        <v>45897</v>
      </c>
      <c r="E26" s="5">
        <v>45927</v>
      </c>
      <c r="F26" t="s">
        <v>368</v>
      </c>
      <c r="G26" t="s">
        <v>337</v>
      </c>
      <c r="H26" s="5">
        <v>46192</v>
      </c>
      <c r="I26" s="2">
        <v>1</v>
      </c>
      <c r="J26" t="s">
        <v>338</v>
      </c>
      <c r="K26" t="s">
        <v>71</v>
      </c>
      <c r="L26" t="s">
        <v>369</v>
      </c>
      <c r="M26" t="s">
        <v>370</v>
      </c>
      <c r="N26" t="s">
        <v>358</v>
      </c>
      <c r="O26" s="3">
        <v>75</v>
      </c>
      <c r="P26" t="s">
        <v>518</v>
      </c>
      <c r="Q26" t="b">
        <v>0</v>
      </c>
      <c r="R26" t="b">
        <v>0</v>
      </c>
    </row>
    <row r="27" spans="1:18" x14ac:dyDescent="0.25">
      <c r="A27" s="5">
        <v>46267</v>
      </c>
      <c r="B27" t="s">
        <v>371</v>
      </c>
      <c r="C27" t="s">
        <v>335</v>
      </c>
      <c r="D27" s="5">
        <v>45944</v>
      </c>
      <c r="E27" s="5">
        <v>45974</v>
      </c>
      <c r="F27" t="s">
        <v>104</v>
      </c>
      <c r="G27" t="s">
        <v>361</v>
      </c>
      <c r="H27" s="5">
        <v>45970</v>
      </c>
      <c r="I27" s="2">
        <v>0</v>
      </c>
      <c r="J27" t="s">
        <v>338</v>
      </c>
      <c r="K27" t="s">
        <v>519</v>
      </c>
      <c r="L27" t="s">
        <v>372</v>
      </c>
      <c r="M27" t="s">
        <v>373</v>
      </c>
      <c r="N27" t="s">
        <v>341</v>
      </c>
      <c r="O27" s="3">
        <v>297</v>
      </c>
      <c r="P27" t="s">
        <v>518</v>
      </c>
      <c r="Q27" t="b">
        <v>0</v>
      </c>
      <c r="R27" t="b">
        <v>0</v>
      </c>
    </row>
    <row r="28" spans="1:18" x14ac:dyDescent="0.25">
      <c r="A28" s="5">
        <v>46267</v>
      </c>
      <c r="B28" t="s">
        <v>374</v>
      </c>
      <c r="C28" t="s">
        <v>349</v>
      </c>
      <c r="D28" s="5">
        <v>45953</v>
      </c>
      <c r="E28" s="5">
        <v>45983</v>
      </c>
      <c r="F28" t="s">
        <v>113</v>
      </c>
      <c r="G28" t="s">
        <v>337</v>
      </c>
      <c r="H28" s="5">
        <v>46183</v>
      </c>
      <c r="I28" s="2">
        <v>1</v>
      </c>
      <c r="J28" t="s">
        <v>338</v>
      </c>
      <c r="K28" t="s">
        <v>75</v>
      </c>
      <c r="L28" t="s">
        <v>375</v>
      </c>
      <c r="M28" t="s">
        <v>376</v>
      </c>
      <c r="N28" t="s">
        <v>352</v>
      </c>
      <c r="O28" s="3">
        <v>84</v>
      </c>
      <c r="P28" t="s">
        <v>518</v>
      </c>
      <c r="Q28" t="b">
        <v>0</v>
      </c>
      <c r="R28" t="b">
        <v>0</v>
      </c>
    </row>
    <row r="29" spans="1:18" x14ac:dyDescent="0.25">
      <c r="A29" s="5">
        <v>46267</v>
      </c>
      <c r="B29" t="s">
        <v>377</v>
      </c>
      <c r="C29" t="s">
        <v>378</v>
      </c>
      <c r="D29" s="5">
        <v>45960</v>
      </c>
      <c r="E29" s="5">
        <v>45990</v>
      </c>
      <c r="F29" t="s">
        <v>131</v>
      </c>
      <c r="G29" t="s">
        <v>379</v>
      </c>
      <c r="H29" s="5">
        <v>46325</v>
      </c>
      <c r="I29" s="2">
        <v>4</v>
      </c>
      <c r="J29" t="s">
        <v>338</v>
      </c>
      <c r="K29" t="s">
        <v>101</v>
      </c>
      <c r="L29" t="s">
        <v>380</v>
      </c>
      <c r="M29" t="s">
        <v>381</v>
      </c>
      <c r="N29" t="s">
        <v>352</v>
      </c>
      <c r="O29" s="3">
        <v>-58</v>
      </c>
      <c r="P29" t="s">
        <v>517</v>
      </c>
      <c r="Q29" t="b">
        <v>0</v>
      </c>
      <c r="R29" t="b">
        <v>0</v>
      </c>
    </row>
    <row r="30" spans="1:18" x14ac:dyDescent="0.25">
      <c r="A30" s="5">
        <v>46267</v>
      </c>
      <c r="B30" t="s">
        <v>382</v>
      </c>
      <c r="C30" t="s">
        <v>335</v>
      </c>
      <c r="D30" s="5">
        <v>46069</v>
      </c>
      <c r="E30" s="5">
        <v>46099</v>
      </c>
      <c r="F30" t="s">
        <v>158</v>
      </c>
      <c r="G30" t="s">
        <v>379</v>
      </c>
      <c r="H30" s="5">
        <v>46192</v>
      </c>
      <c r="I30" s="2">
        <v>2</v>
      </c>
      <c r="J30" t="s">
        <v>338</v>
      </c>
      <c r="K30" t="s">
        <v>71</v>
      </c>
      <c r="L30" t="s">
        <v>383</v>
      </c>
      <c r="M30" t="s">
        <v>384</v>
      </c>
      <c r="N30" t="s">
        <v>358</v>
      </c>
      <c r="O30" s="3">
        <v>75</v>
      </c>
      <c r="P30" t="s">
        <v>518</v>
      </c>
      <c r="Q30" t="b">
        <v>0</v>
      </c>
      <c r="R30" t="b">
        <v>0</v>
      </c>
    </row>
    <row r="31" spans="1:18" x14ac:dyDescent="0.25">
      <c r="A31" s="5">
        <v>46267</v>
      </c>
      <c r="B31" t="s">
        <v>385</v>
      </c>
      <c r="C31" t="s">
        <v>378</v>
      </c>
      <c r="D31" s="5">
        <v>46118</v>
      </c>
      <c r="E31" s="5">
        <v>46148</v>
      </c>
      <c r="F31" t="s">
        <v>386</v>
      </c>
      <c r="G31" t="s">
        <v>337</v>
      </c>
      <c r="H31" s="5">
        <v>46255</v>
      </c>
      <c r="I31" s="2">
        <v>3</v>
      </c>
      <c r="J31" t="s">
        <v>338</v>
      </c>
      <c r="K31" t="s">
        <v>71</v>
      </c>
      <c r="L31" t="s">
        <v>387</v>
      </c>
      <c r="M31" t="s">
        <v>388</v>
      </c>
      <c r="N31" t="s">
        <v>341</v>
      </c>
      <c r="O31" s="3">
        <v>12</v>
      </c>
      <c r="P31" t="s">
        <v>518</v>
      </c>
      <c r="Q31" t="b">
        <v>0</v>
      </c>
      <c r="R31" t="b">
        <v>0</v>
      </c>
    </row>
    <row r="32" spans="1:18" x14ac:dyDescent="0.25">
      <c r="A32" s="5">
        <v>46267</v>
      </c>
      <c r="B32" t="s">
        <v>390</v>
      </c>
      <c r="C32" t="s">
        <v>360</v>
      </c>
      <c r="D32" s="5">
        <v>46146</v>
      </c>
      <c r="E32" s="5">
        <v>46176</v>
      </c>
      <c r="F32" t="s">
        <v>77</v>
      </c>
      <c r="G32" t="s">
        <v>391</v>
      </c>
      <c r="H32" s="5">
        <v>46262</v>
      </c>
      <c r="I32" s="2">
        <v>3</v>
      </c>
      <c r="J32" t="s">
        <v>338</v>
      </c>
      <c r="K32" t="s">
        <v>101</v>
      </c>
      <c r="L32" t="s">
        <v>392</v>
      </c>
      <c r="M32" t="s">
        <v>389</v>
      </c>
      <c r="N32" t="s">
        <v>341</v>
      </c>
      <c r="O32" s="3">
        <v>5</v>
      </c>
      <c r="P32" t="s">
        <v>518</v>
      </c>
      <c r="Q32" t="b">
        <v>0</v>
      </c>
      <c r="R32" t="b">
        <v>0</v>
      </c>
    </row>
    <row r="33" spans="1:18" x14ac:dyDescent="0.25">
      <c r="A33" s="5">
        <v>46267</v>
      </c>
      <c r="B33" t="s">
        <v>394</v>
      </c>
      <c r="C33" t="s">
        <v>349</v>
      </c>
      <c r="D33" s="5">
        <v>46163</v>
      </c>
      <c r="E33" s="5">
        <v>46193</v>
      </c>
      <c r="F33" t="s">
        <v>104</v>
      </c>
      <c r="G33" t="s">
        <v>395</v>
      </c>
      <c r="H33" s="5">
        <v>46261</v>
      </c>
      <c r="I33" s="2">
        <v>0</v>
      </c>
      <c r="J33" t="s">
        <v>338</v>
      </c>
      <c r="K33" t="s">
        <v>97</v>
      </c>
      <c r="L33" t="s">
        <v>396</v>
      </c>
      <c r="M33" t="s">
        <v>393</v>
      </c>
      <c r="N33" t="s">
        <v>347</v>
      </c>
      <c r="O33" s="3">
        <v>6</v>
      </c>
      <c r="P33" t="s">
        <v>518</v>
      </c>
      <c r="Q33" t="b">
        <v>0</v>
      </c>
      <c r="R33" t="b">
        <v>0</v>
      </c>
    </row>
    <row r="34" spans="1:18" x14ac:dyDescent="0.25">
      <c r="A34" s="5">
        <v>46267</v>
      </c>
      <c r="B34" t="s">
        <v>397</v>
      </c>
      <c r="C34" t="s">
        <v>360</v>
      </c>
      <c r="D34" s="5">
        <v>46188</v>
      </c>
      <c r="E34" s="5">
        <v>46218</v>
      </c>
      <c r="F34" t="s">
        <v>122</v>
      </c>
      <c r="G34" t="s">
        <v>337</v>
      </c>
      <c r="H34" s="5">
        <v>46209</v>
      </c>
      <c r="I34" s="2">
        <v>0</v>
      </c>
      <c r="J34" t="s">
        <v>338</v>
      </c>
      <c r="K34" t="s">
        <v>84</v>
      </c>
      <c r="L34" t="s">
        <v>398</v>
      </c>
      <c r="M34" t="s">
        <v>399</v>
      </c>
      <c r="N34" t="s">
        <v>352</v>
      </c>
      <c r="O34" s="3">
        <v>58</v>
      </c>
      <c r="P34" t="s">
        <v>518</v>
      </c>
      <c r="Q34" t="b">
        <v>0</v>
      </c>
      <c r="R34" t="b">
        <v>0</v>
      </c>
    </row>
    <row r="35" spans="1:18" x14ac:dyDescent="0.25">
      <c r="A35" s="5">
        <v>46267</v>
      </c>
      <c r="B35" t="s">
        <v>400</v>
      </c>
      <c r="C35" t="s">
        <v>378</v>
      </c>
      <c r="D35" s="5">
        <v>46188</v>
      </c>
      <c r="E35" s="5">
        <v>46218</v>
      </c>
      <c r="F35" t="s">
        <v>132</v>
      </c>
      <c r="G35" t="s">
        <v>379</v>
      </c>
      <c r="H35" s="5">
        <v>46208</v>
      </c>
      <c r="I35" s="2">
        <v>0</v>
      </c>
      <c r="J35" t="s">
        <v>338</v>
      </c>
      <c r="K35" t="s">
        <v>84</v>
      </c>
      <c r="L35" t="s">
        <v>401</v>
      </c>
      <c r="M35" t="s">
        <v>402</v>
      </c>
      <c r="N35" t="s">
        <v>358</v>
      </c>
      <c r="O35" s="3">
        <v>59</v>
      </c>
      <c r="P35" t="s">
        <v>518</v>
      </c>
      <c r="Q35" t="b">
        <v>0</v>
      </c>
      <c r="R35" t="b">
        <v>0</v>
      </c>
    </row>
    <row r="36" spans="1:18" x14ac:dyDescent="0.25">
      <c r="A36" s="5">
        <v>46267</v>
      </c>
      <c r="B36" t="s">
        <v>403</v>
      </c>
      <c r="C36" t="s">
        <v>349</v>
      </c>
      <c r="D36" s="5">
        <v>46194</v>
      </c>
      <c r="E36" s="5">
        <v>46224</v>
      </c>
      <c r="F36" t="s">
        <v>17</v>
      </c>
      <c r="G36" t="s">
        <v>379</v>
      </c>
      <c r="H36" s="5">
        <v>46219</v>
      </c>
      <c r="I36" s="2">
        <v>0</v>
      </c>
      <c r="J36" t="s">
        <v>338</v>
      </c>
      <c r="K36" t="s">
        <v>71</v>
      </c>
      <c r="L36" t="s">
        <v>404</v>
      </c>
      <c r="M36" t="s">
        <v>405</v>
      </c>
      <c r="N36" t="s">
        <v>358</v>
      </c>
      <c r="O36" s="3">
        <v>48</v>
      </c>
      <c r="P36" t="s">
        <v>518</v>
      </c>
      <c r="Q36" t="b">
        <v>0</v>
      </c>
      <c r="R36" t="b">
        <v>0</v>
      </c>
    </row>
    <row r="37" spans="1:18" x14ac:dyDescent="0.25">
      <c r="A37" s="5">
        <v>46267</v>
      </c>
      <c r="B37" t="s">
        <v>406</v>
      </c>
      <c r="C37" t="s">
        <v>343</v>
      </c>
      <c r="D37" s="5">
        <v>46194</v>
      </c>
      <c r="E37" s="5">
        <v>46224</v>
      </c>
      <c r="F37" t="s">
        <v>386</v>
      </c>
      <c r="G37" t="s">
        <v>361</v>
      </c>
      <c r="H37" s="5">
        <v>46262</v>
      </c>
      <c r="I37" s="2">
        <v>0</v>
      </c>
      <c r="J37" t="s">
        <v>338</v>
      </c>
      <c r="K37" t="s">
        <v>75</v>
      </c>
      <c r="L37" t="s">
        <v>407</v>
      </c>
      <c r="M37" t="s">
        <v>388</v>
      </c>
      <c r="N37" t="s">
        <v>358</v>
      </c>
      <c r="O37" s="3">
        <v>5</v>
      </c>
      <c r="P37" t="s">
        <v>518</v>
      </c>
      <c r="Q37" t="b">
        <v>0</v>
      </c>
      <c r="R37" t="b">
        <v>0</v>
      </c>
    </row>
    <row r="38" spans="1:18" x14ac:dyDescent="0.25">
      <c r="A38" s="5">
        <v>46267</v>
      </c>
      <c r="B38" t="s">
        <v>408</v>
      </c>
      <c r="C38" t="s">
        <v>349</v>
      </c>
      <c r="D38" s="5">
        <v>46211</v>
      </c>
      <c r="E38" s="5">
        <v>46241</v>
      </c>
      <c r="F38" t="s">
        <v>209</v>
      </c>
      <c r="G38" t="s">
        <v>361</v>
      </c>
      <c r="H38" s="5">
        <v>46246</v>
      </c>
      <c r="I38" s="2">
        <v>0</v>
      </c>
      <c r="J38" t="s">
        <v>338</v>
      </c>
      <c r="K38" t="s">
        <v>101</v>
      </c>
      <c r="L38" t="s">
        <v>409</v>
      </c>
      <c r="M38" t="s">
        <v>410</v>
      </c>
      <c r="N38" t="s">
        <v>347</v>
      </c>
      <c r="O38" s="3">
        <v>21</v>
      </c>
      <c r="P38" t="s">
        <v>518</v>
      </c>
      <c r="Q38" t="b">
        <v>0</v>
      </c>
      <c r="R38" t="b">
        <v>0</v>
      </c>
    </row>
    <row r="39" spans="1:18" x14ac:dyDescent="0.25">
      <c r="A39" s="5">
        <v>46267</v>
      </c>
      <c r="B39" t="s">
        <v>411</v>
      </c>
      <c r="C39" t="s">
        <v>343</v>
      </c>
      <c r="D39" s="5">
        <v>46220</v>
      </c>
      <c r="E39" s="5">
        <v>46250</v>
      </c>
      <c r="F39" t="s">
        <v>123</v>
      </c>
      <c r="G39" t="s">
        <v>395</v>
      </c>
      <c r="H39" s="5">
        <v>46246</v>
      </c>
      <c r="I39" s="2">
        <v>0</v>
      </c>
      <c r="J39" t="s">
        <v>338</v>
      </c>
      <c r="K39" t="s">
        <v>84</v>
      </c>
      <c r="L39" t="s">
        <v>412</v>
      </c>
      <c r="M39" t="s">
        <v>366</v>
      </c>
      <c r="N39" t="s">
        <v>341</v>
      </c>
      <c r="O39" s="3">
        <v>21</v>
      </c>
      <c r="P39" t="s">
        <v>518</v>
      </c>
      <c r="Q39" t="b">
        <v>0</v>
      </c>
      <c r="R39" t="b">
        <v>0</v>
      </c>
    </row>
    <row r="40" spans="1:18" x14ac:dyDescent="0.25">
      <c r="A40" s="5">
        <v>46267</v>
      </c>
      <c r="B40" t="s">
        <v>413</v>
      </c>
      <c r="C40" t="s">
        <v>349</v>
      </c>
      <c r="D40" s="5">
        <v>46223</v>
      </c>
      <c r="E40" s="5">
        <v>46253</v>
      </c>
      <c r="F40" t="s">
        <v>195</v>
      </c>
      <c r="G40" t="s">
        <v>395</v>
      </c>
      <c r="H40" s="5">
        <v>46249</v>
      </c>
      <c r="I40" s="2">
        <v>0</v>
      </c>
      <c r="J40" t="s">
        <v>338</v>
      </c>
      <c r="K40" t="s">
        <v>75</v>
      </c>
      <c r="L40" t="s">
        <v>414</v>
      </c>
      <c r="M40" t="s">
        <v>415</v>
      </c>
      <c r="N40" t="s">
        <v>341</v>
      </c>
      <c r="O40" s="3">
        <v>18</v>
      </c>
      <c r="P40" t="s">
        <v>518</v>
      </c>
      <c r="Q40" t="b">
        <v>0</v>
      </c>
      <c r="R40" t="b">
        <v>0</v>
      </c>
    </row>
  </sheetData>
  <conditionalFormatting sqref="O2:O1048576">
    <cfRule type="cellIs" dxfId="14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D5F2-9A4C-45AE-A8BF-C3908A4C0888}">
  <dimension ref="A1:Q15"/>
  <sheetViews>
    <sheetView workbookViewId="0">
      <selection sqref="A1:Q15"/>
    </sheetView>
  </sheetViews>
  <sheetFormatPr defaultRowHeight="15" x14ac:dyDescent="0.25"/>
  <cols>
    <col min="1" max="1" width="19" style="5" bestFit="1" customWidth="1"/>
    <col min="2" max="2" width="18.7109375" bestFit="1" customWidth="1"/>
    <col min="3" max="3" width="27.140625" bestFit="1" customWidth="1"/>
    <col min="4" max="4" width="18.7109375" bestFit="1" customWidth="1"/>
    <col min="5" max="5" width="22.7109375" bestFit="1" customWidth="1"/>
    <col min="6" max="6" width="18" bestFit="1" customWidth="1"/>
    <col min="7" max="7" width="16" style="5" bestFit="1" customWidth="1"/>
    <col min="8" max="8" width="16" bestFit="1" customWidth="1"/>
    <col min="9" max="9" width="14.140625" bestFit="1" customWidth="1"/>
    <col min="10" max="10" width="13.7109375" bestFit="1" customWidth="1"/>
    <col min="11" max="11" width="21.28515625" bestFit="1" customWidth="1"/>
    <col min="12" max="12" width="15.85546875" bestFit="1" customWidth="1"/>
    <col min="13" max="13" width="16.7109375" bestFit="1" customWidth="1"/>
    <col min="14" max="14" width="26.28515625" style="3" bestFit="1" customWidth="1"/>
    <col min="15" max="15" width="12.5703125" bestFit="1" customWidth="1"/>
    <col min="16" max="16" width="16.7109375" bestFit="1" customWidth="1"/>
    <col min="17" max="17" width="12.7109375" bestFit="1" customWidth="1"/>
  </cols>
  <sheetData>
    <row r="1" spans="1:17" x14ac:dyDescent="0.25">
      <c r="A1" s="5" t="s">
        <v>520</v>
      </c>
      <c r="B1" t="s">
        <v>521</v>
      </c>
      <c r="C1" t="s">
        <v>522</v>
      </c>
      <c r="D1" t="s">
        <v>523</v>
      </c>
      <c r="E1" t="s">
        <v>524</v>
      </c>
      <c r="F1" t="s">
        <v>525</v>
      </c>
      <c r="G1" s="5" t="s">
        <v>3</v>
      </c>
      <c r="H1" t="s">
        <v>63</v>
      </c>
      <c r="I1" t="s">
        <v>526</v>
      </c>
      <c r="J1" t="s">
        <v>527</v>
      </c>
      <c r="K1" t="s">
        <v>528</v>
      </c>
      <c r="L1" t="s">
        <v>529</v>
      </c>
      <c r="M1" t="s">
        <v>530</v>
      </c>
      <c r="N1" s="3" t="s">
        <v>515</v>
      </c>
      <c r="O1" t="s">
        <v>49</v>
      </c>
      <c r="P1" t="s">
        <v>50</v>
      </c>
      <c r="Q1" t="s">
        <v>516</v>
      </c>
    </row>
    <row r="2" spans="1:17" x14ac:dyDescent="0.25">
      <c r="A2" s="5">
        <v>46267</v>
      </c>
      <c r="B2" t="s">
        <v>531</v>
      </c>
      <c r="C2" t="s">
        <v>532</v>
      </c>
      <c r="D2" t="s">
        <v>533</v>
      </c>
      <c r="E2" t="s">
        <v>534</v>
      </c>
      <c r="F2" t="s">
        <v>208</v>
      </c>
      <c r="G2" s="5">
        <v>45882</v>
      </c>
      <c r="H2" s="5">
        <v>46248</v>
      </c>
      <c r="I2" t="s">
        <v>535</v>
      </c>
      <c r="J2" t="s">
        <v>536</v>
      </c>
      <c r="K2" t="s">
        <v>537</v>
      </c>
      <c r="L2" t="s">
        <v>538</v>
      </c>
      <c r="M2" t="s">
        <v>539</v>
      </c>
      <c r="N2" s="3">
        <v>19</v>
      </c>
      <c r="O2" t="b">
        <v>0</v>
      </c>
      <c r="P2" t="b">
        <v>0</v>
      </c>
      <c r="Q2" t="s">
        <v>518</v>
      </c>
    </row>
    <row r="3" spans="1:17" x14ac:dyDescent="0.25">
      <c r="A3" s="5">
        <v>46267</v>
      </c>
      <c r="B3" t="s">
        <v>540</v>
      </c>
      <c r="C3" t="s">
        <v>541</v>
      </c>
      <c r="D3" t="s">
        <v>542</v>
      </c>
      <c r="E3" t="s">
        <v>24</v>
      </c>
      <c r="F3" t="s">
        <v>40</v>
      </c>
      <c r="G3" s="5">
        <v>46042</v>
      </c>
      <c r="H3" s="5">
        <v>46218</v>
      </c>
      <c r="I3" t="s">
        <v>67</v>
      </c>
      <c r="J3" t="s">
        <v>67</v>
      </c>
      <c r="K3" t="s">
        <v>543</v>
      </c>
      <c r="L3" t="s">
        <v>544</v>
      </c>
      <c r="M3" t="s">
        <v>545</v>
      </c>
      <c r="N3" s="3">
        <v>49</v>
      </c>
      <c r="O3" t="b">
        <v>0</v>
      </c>
      <c r="P3" t="b">
        <v>0</v>
      </c>
      <c r="Q3" t="s">
        <v>518</v>
      </c>
    </row>
    <row r="4" spans="1:17" x14ac:dyDescent="0.25">
      <c r="A4" s="5">
        <v>46267</v>
      </c>
      <c r="B4" t="s">
        <v>546</v>
      </c>
      <c r="C4" t="s">
        <v>532</v>
      </c>
      <c r="D4" t="s">
        <v>533</v>
      </c>
      <c r="E4" t="s">
        <v>534</v>
      </c>
      <c r="F4" t="s">
        <v>32</v>
      </c>
      <c r="G4" s="5">
        <v>46086</v>
      </c>
      <c r="H4" s="5">
        <v>46229</v>
      </c>
      <c r="I4" t="s">
        <v>535</v>
      </c>
      <c r="J4" t="s">
        <v>547</v>
      </c>
      <c r="K4" t="s">
        <v>548</v>
      </c>
      <c r="L4" t="s">
        <v>549</v>
      </c>
      <c r="M4" t="s">
        <v>550</v>
      </c>
      <c r="N4" s="3">
        <v>38</v>
      </c>
      <c r="O4" t="b">
        <v>0</v>
      </c>
      <c r="P4" t="b">
        <v>0</v>
      </c>
      <c r="Q4" t="s">
        <v>518</v>
      </c>
    </row>
    <row r="5" spans="1:17" x14ac:dyDescent="0.25">
      <c r="A5" s="5">
        <v>46267</v>
      </c>
      <c r="B5" t="s">
        <v>551</v>
      </c>
      <c r="C5" t="s">
        <v>532</v>
      </c>
      <c r="D5" t="s">
        <v>533</v>
      </c>
      <c r="E5" t="s">
        <v>534</v>
      </c>
      <c r="F5" t="s">
        <v>209</v>
      </c>
      <c r="G5" s="5">
        <v>46086</v>
      </c>
      <c r="H5" s="5">
        <v>46229</v>
      </c>
      <c r="I5" t="s">
        <v>552</v>
      </c>
      <c r="J5" t="s">
        <v>553</v>
      </c>
      <c r="K5" t="s">
        <v>554</v>
      </c>
      <c r="L5" t="s">
        <v>555</v>
      </c>
      <c r="M5" t="s">
        <v>556</v>
      </c>
      <c r="N5" s="3">
        <v>38</v>
      </c>
      <c r="O5" t="b">
        <v>0</v>
      </c>
      <c r="P5" t="b">
        <v>0</v>
      </c>
      <c r="Q5" t="s">
        <v>518</v>
      </c>
    </row>
    <row r="6" spans="1:17" x14ac:dyDescent="0.25">
      <c r="A6" s="5">
        <v>46267</v>
      </c>
      <c r="B6" t="s">
        <v>557</v>
      </c>
      <c r="C6" t="s">
        <v>558</v>
      </c>
      <c r="D6" t="s">
        <v>533</v>
      </c>
      <c r="E6" t="s">
        <v>559</v>
      </c>
      <c r="F6" t="s">
        <v>154</v>
      </c>
      <c r="G6" s="5">
        <v>46121</v>
      </c>
      <c r="H6" s="5">
        <v>46262</v>
      </c>
      <c r="I6" t="s">
        <v>552</v>
      </c>
      <c r="J6" t="s">
        <v>560</v>
      </c>
      <c r="K6" t="s">
        <v>561</v>
      </c>
      <c r="L6" t="s">
        <v>562</v>
      </c>
      <c r="M6" t="s">
        <v>563</v>
      </c>
      <c r="N6" s="3">
        <v>5</v>
      </c>
      <c r="O6" t="b">
        <v>0</v>
      </c>
      <c r="P6" t="b">
        <v>0</v>
      </c>
      <c r="Q6" t="s">
        <v>518</v>
      </c>
    </row>
    <row r="7" spans="1:17" x14ac:dyDescent="0.25">
      <c r="A7" s="5">
        <v>46267</v>
      </c>
      <c r="B7" t="s">
        <v>564</v>
      </c>
      <c r="C7" t="s">
        <v>565</v>
      </c>
      <c r="D7" t="s">
        <v>533</v>
      </c>
      <c r="E7" t="s">
        <v>534</v>
      </c>
      <c r="F7" t="s">
        <v>114</v>
      </c>
      <c r="G7" s="5">
        <v>46127</v>
      </c>
      <c r="H7" s="5">
        <v>46265</v>
      </c>
      <c r="I7" t="s">
        <v>566</v>
      </c>
      <c r="J7" t="s">
        <v>567</v>
      </c>
      <c r="K7" t="s">
        <v>537</v>
      </c>
      <c r="L7" t="s">
        <v>568</v>
      </c>
      <c r="M7" t="s">
        <v>569</v>
      </c>
      <c r="N7" s="3">
        <v>2</v>
      </c>
      <c r="O7" t="b">
        <v>0</v>
      </c>
      <c r="P7" t="b">
        <v>0</v>
      </c>
      <c r="Q7" t="s">
        <v>518</v>
      </c>
    </row>
    <row r="8" spans="1:17" x14ac:dyDescent="0.25">
      <c r="A8" s="5">
        <v>46267</v>
      </c>
      <c r="B8" t="s">
        <v>570</v>
      </c>
      <c r="C8" t="s">
        <v>571</v>
      </c>
      <c r="D8" t="s">
        <v>542</v>
      </c>
      <c r="E8" t="s">
        <v>559</v>
      </c>
      <c r="F8" t="s">
        <v>186</v>
      </c>
      <c r="G8" s="5">
        <v>46139</v>
      </c>
      <c r="H8" s="5">
        <v>46262</v>
      </c>
      <c r="I8" t="s">
        <v>552</v>
      </c>
      <c r="J8" t="s">
        <v>572</v>
      </c>
      <c r="K8" t="s">
        <v>548</v>
      </c>
      <c r="L8" t="s">
        <v>573</v>
      </c>
      <c r="M8" t="s">
        <v>574</v>
      </c>
      <c r="N8" s="3">
        <v>5</v>
      </c>
      <c r="O8" t="b">
        <v>0</v>
      </c>
      <c r="P8" t="b">
        <v>0</v>
      </c>
      <c r="Q8" t="s">
        <v>518</v>
      </c>
    </row>
    <row r="9" spans="1:17" x14ac:dyDescent="0.25">
      <c r="A9" s="5">
        <v>46267</v>
      </c>
      <c r="B9" t="s">
        <v>575</v>
      </c>
      <c r="C9" t="s">
        <v>571</v>
      </c>
      <c r="D9" t="s">
        <v>533</v>
      </c>
      <c r="E9" t="s">
        <v>534</v>
      </c>
      <c r="F9" t="s">
        <v>130</v>
      </c>
      <c r="G9" s="5">
        <v>46156</v>
      </c>
      <c r="H9" s="5">
        <v>46236</v>
      </c>
      <c r="I9" t="s">
        <v>67</v>
      </c>
      <c r="J9" t="s">
        <v>67</v>
      </c>
      <c r="K9" t="s">
        <v>561</v>
      </c>
      <c r="L9" t="s">
        <v>576</v>
      </c>
      <c r="M9" t="s">
        <v>545</v>
      </c>
      <c r="N9" s="3">
        <v>31</v>
      </c>
      <c r="O9" t="b">
        <v>0</v>
      </c>
      <c r="P9" t="b">
        <v>0</v>
      </c>
      <c r="Q9" t="s">
        <v>518</v>
      </c>
    </row>
    <row r="10" spans="1:17" x14ac:dyDescent="0.25">
      <c r="A10" s="5">
        <v>46267</v>
      </c>
      <c r="B10" t="s">
        <v>577</v>
      </c>
      <c r="C10" t="s">
        <v>558</v>
      </c>
      <c r="D10" t="s">
        <v>533</v>
      </c>
      <c r="E10" t="s">
        <v>559</v>
      </c>
      <c r="F10" t="s">
        <v>215</v>
      </c>
      <c r="G10" s="5">
        <v>46174</v>
      </c>
      <c r="H10" s="5">
        <v>46265</v>
      </c>
      <c r="I10" t="s">
        <v>578</v>
      </c>
      <c r="J10" t="s">
        <v>579</v>
      </c>
      <c r="K10" t="s">
        <v>543</v>
      </c>
      <c r="L10" t="s">
        <v>580</v>
      </c>
      <c r="M10" t="s">
        <v>581</v>
      </c>
      <c r="N10" s="3">
        <v>2</v>
      </c>
      <c r="O10" t="b">
        <v>0</v>
      </c>
      <c r="P10" t="b">
        <v>0</v>
      </c>
      <c r="Q10" t="s">
        <v>518</v>
      </c>
    </row>
    <row r="11" spans="1:17" x14ac:dyDescent="0.25">
      <c r="A11" s="5">
        <v>46267</v>
      </c>
      <c r="B11" t="s">
        <v>582</v>
      </c>
      <c r="C11" t="s">
        <v>571</v>
      </c>
      <c r="D11" t="s">
        <v>533</v>
      </c>
      <c r="E11" t="s">
        <v>534</v>
      </c>
      <c r="F11" t="s">
        <v>8</v>
      </c>
      <c r="G11" s="5">
        <v>46197</v>
      </c>
      <c r="H11" s="5">
        <v>46295</v>
      </c>
      <c r="I11" t="s">
        <v>583</v>
      </c>
      <c r="J11" t="s">
        <v>584</v>
      </c>
      <c r="K11" t="s">
        <v>548</v>
      </c>
      <c r="L11" t="s">
        <v>585</v>
      </c>
      <c r="M11" t="s">
        <v>586</v>
      </c>
      <c r="N11" s="3">
        <v>-28</v>
      </c>
      <c r="O11" t="b">
        <v>0</v>
      </c>
      <c r="P11" t="b">
        <v>0</v>
      </c>
      <c r="Q11" t="s">
        <v>517</v>
      </c>
    </row>
    <row r="12" spans="1:17" x14ac:dyDescent="0.25">
      <c r="A12" s="5">
        <v>46267</v>
      </c>
      <c r="B12" t="s">
        <v>587</v>
      </c>
      <c r="C12" t="s">
        <v>532</v>
      </c>
      <c r="D12" t="s">
        <v>533</v>
      </c>
      <c r="E12" t="s">
        <v>24</v>
      </c>
      <c r="F12" t="s">
        <v>169</v>
      </c>
      <c r="G12" s="5">
        <v>46205</v>
      </c>
      <c r="H12" s="5">
        <v>46255</v>
      </c>
      <c r="I12" t="s">
        <v>67</v>
      </c>
      <c r="J12" t="s">
        <v>67</v>
      </c>
      <c r="K12" t="s">
        <v>537</v>
      </c>
      <c r="L12" t="s">
        <v>588</v>
      </c>
      <c r="M12" t="s">
        <v>589</v>
      </c>
      <c r="N12" s="3">
        <v>12</v>
      </c>
      <c r="O12" t="b">
        <v>0</v>
      </c>
      <c r="P12" t="b">
        <v>0</v>
      </c>
      <c r="Q12" t="s">
        <v>518</v>
      </c>
    </row>
    <row r="13" spans="1:17" x14ac:dyDescent="0.25">
      <c r="A13" s="5">
        <v>46267</v>
      </c>
      <c r="B13" t="s">
        <v>590</v>
      </c>
      <c r="C13" t="s">
        <v>571</v>
      </c>
      <c r="D13" t="s">
        <v>533</v>
      </c>
      <c r="E13" t="s">
        <v>559</v>
      </c>
      <c r="F13" t="s">
        <v>162</v>
      </c>
      <c r="G13" s="5">
        <v>46211</v>
      </c>
      <c r="H13" s="5">
        <v>46269</v>
      </c>
      <c r="I13" t="s">
        <v>591</v>
      </c>
      <c r="J13" t="s">
        <v>592</v>
      </c>
      <c r="K13" t="s">
        <v>548</v>
      </c>
      <c r="L13" t="s">
        <v>593</v>
      </c>
      <c r="M13" t="s">
        <v>594</v>
      </c>
      <c r="N13" s="3">
        <v>-2</v>
      </c>
      <c r="O13" t="b">
        <v>0</v>
      </c>
      <c r="P13" t="b">
        <v>1</v>
      </c>
      <c r="Q13" t="s">
        <v>517</v>
      </c>
    </row>
    <row r="14" spans="1:17" x14ac:dyDescent="0.25">
      <c r="A14" s="5">
        <v>46267</v>
      </c>
      <c r="B14" t="s">
        <v>595</v>
      </c>
      <c r="C14" t="s">
        <v>571</v>
      </c>
      <c r="D14" t="s">
        <v>533</v>
      </c>
      <c r="E14" t="s">
        <v>559</v>
      </c>
      <c r="F14" t="s">
        <v>596</v>
      </c>
      <c r="G14" s="5">
        <v>46239</v>
      </c>
      <c r="H14" s="5">
        <v>46266</v>
      </c>
      <c r="I14" t="s">
        <v>583</v>
      </c>
      <c r="J14" t="s">
        <v>597</v>
      </c>
      <c r="K14" t="s">
        <v>554</v>
      </c>
      <c r="L14" t="s">
        <v>598</v>
      </c>
      <c r="M14" t="s">
        <v>599</v>
      </c>
      <c r="N14" s="3">
        <v>1</v>
      </c>
      <c r="O14" t="b">
        <v>0</v>
      </c>
      <c r="P14" t="b">
        <v>0</v>
      </c>
      <c r="Q14" t="s">
        <v>518</v>
      </c>
    </row>
    <row r="15" spans="1:17" x14ac:dyDescent="0.25">
      <c r="A15" s="5">
        <v>46267</v>
      </c>
      <c r="B15" t="s">
        <v>600</v>
      </c>
      <c r="C15" t="s">
        <v>571</v>
      </c>
      <c r="D15" t="s">
        <v>533</v>
      </c>
      <c r="E15" t="s">
        <v>601</v>
      </c>
      <c r="F15" t="s">
        <v>168</v>
      </c>
      <c r="G15" s="5">
        <v>46247</v>
      </c>
      <c r="H15" s="5">
        <v>46274</v>
      </c>
      <c r="I15" t="s">
        <v>591</v>
      </c>
      <c r="J15" t="s">
        <v>602</v>
      </c>
      <c r="K15" t="s">
        <v>537</v>
      </c>
      <c r="L15" t="s">
        <v>603</v>
      </c>
      <c r="M15" t="s">
        <v>604</v>
      </c>
      <c r="N15" s="3">
        <v>-7</v>
      </c>
      <c r="O15" t="b">
        <v>0</v>
      </c>
      <c r="P15" t="b">
        <v>0</v>
      </c>
      <c r="Q15" t="s">
        <v>517</v>
      </c>
    </row>
  </sheetData>
  <conditionalFormatting sqref="N2:N1048576">
    <cfRule type="cellIs" dxfId="13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296B-860D-426B-A63B-3C854C4C95CB}">
  <dimension ref="A1:M14"/>
  <sheetViews>
    <sheetView workbookViewId="0">
      <selection sqref="A1:L14"/>
    </sheetView>
  </sheetViews>
  <sheetFormatPr defaultRowHeight="15" x14ac:dyDescent="0.25"/>
  <cols>
    <col min="1" max="1" width="16.7109375" style="5" bestFit="1" customWidth="1"/>
    <col min="2" max="2" width="16.140625" bestFit="1" customWidth="1"/>
    <col min="3" max="3" width="24" bestFit="1" customWidth="1"/>
    <col min="4" max="4" width="41.5703125" bestFit="1" customWidth="1"/>
    <col min="5" max="5" width="9.85546875" style="5" bestFit="1" customWidth="1"/>
    <col min="6" max="6" width="16" bestFit="1" customWidth="1"/>
    <col min="7" max="7" width="28.7109375" style="5" bestFit="1" customWidth="1"/>
    <col min="8" max="8" width="11.42578125" bestFit="1" customWidth="1"/>
    <col min="9" max="9" width="14" style="3" bestFit="1" customWidth="1"/>
    <col min="10" max="10" width="24" style="3" customWidth="1"/>
    <col min="11" max="11" width="12.7109375" style="3" bestFit="1" customWidth="1"/>
    <col min="12" max="12" width="12.5703125" style="3" bestFit="1" customWidth="1"/>
    <col min="13" max="13" width="16.7109375" style="3" bestFit="1" customWidth="1"/>
    <col min="14" max="14" width="12.7109375" bestFit="1" customWidth="1"/>
    <col min="15" max="15" width="12.5703125" bestFit="1" customWidth="1"/>
    <col min="16" max="16" width="16.7109375" bestFit="1" customWidth="1"/>
  </cols>
  <sheetData>
    <row r="1" spans="1:13" x14ac:dyDescent="0.25">
      <c r="A1" t="s">
        <v>520</v>
      </c>
      <c r="B1" t="s">
        <v>0</v>
      </c>
      <c r="C1" t="s">
        <v>614</v>
      </c>
      <c r="D1" t="s">
        <v>1</v>
      </c>
      <c r="E1" t="s">
        <v>2</v>
      </c>
      <c r="F1" s="5" t="s">
        <v>3</v>
      </c>
      <c r="G1" t="s">
        <v>528</v>
      </c>
      <c r="H1" t="s">
        <v>615</v>
      </c>
      <c r="I1" t="s">
        <v>5</v>
      </c>
      <c r="J1" t="s">
        <v>515</v>
      </c>
      <c r="K1" t="s">
        <v>516</v>
      </c>
      <c r="L1" t="s">
        <v>49</v>
      </c>
      <c r="M1" t="s">
        <v>50</v>
      </c>
    </row>
    <row r="2" spans="1:13" x14ac:dyDescent="0.25">
      <c r="A2" s="6">
        <v>46261</v>
      </c>
      <c r="B2" t="s">
        <v>6</v>
      </c>
      <c r="C2" s="9" t="s">
        <v>616</v>
      </c>
      <c r="D2" t="s">
        <v>7</v>
      </c>
      <c r="E2" t="s">
        <v>8</v>
      </c>
      <c r="F2" s="5">
        <v>46260</v>
      </c>
      <c r="G2" s="9" t="s">
        <v>9</v>
      </c>
      <c r="H2" s="6">
        <v>46263</v>
      </c>
      <c r="I2" t="s">
        <v>10</v>
      </c>
      <c r="J2" s="3">
        <v>-2</v>
      </c>
      <c r="K2" t="s">
        <v>517</v>
      </c>
      <c r="L2" t="b">
        <v>0</v>
      </c>
      <c r="M2" t="b">
        <v>1</v>
      </c>
    </row>
    <row r="3" spans="1:13" x14ac:dyDescent="0.25">
      <c r="A3" s="6">
        <v>46261</v>
      </c>
      <c r="B3" t="s">
        <v>6</v>
      </c>
      <c r="C3" s="9" t="s">
        <v>616</v>
      </c>
      <c r="D3" t="s">
        <v>11</v>
      </c>
      <c r="E3" t="s">
        <v>12</v>
      </c>
      <c r="F3" s="5">
        <v>46260</v>
      </c>
      <c r="G3" s="9" t="s">
        <v>13</v>
      </c>
      <c r="H3" s="6">
        <v>46263</v>
      </c>
      <c r="I3" t="s">
        <v>14</v>
      </c>
      <c r="J3" s="3">
        <v>-2</v>
      </c>
      <c r="K3" t="s">
        <v>517</v>
      </c>
      <c r="L3" t="b">
        <v>0</v>
      </c>
      <c r="M3" t="b">
        <v>1</v>
      </c>
    </row>
    <row r="4" spans="1:13" x14ac:dyDescent="0.25">
      <c r="A4" s="6">
        <v>46261</v>
      </c>
      <c r="B4" t="s">
        <v>15</v>
      </c>
      <c r="C4" s="9" t="s">
        <v>616</v>
      </c>
      <c r="D4" t="s">
        <v>16</v>
      </c>
      <c r="E4" t="s">
        <v>17</v>
      </c>
      <c r="F4" s="5">
        <v>46259</v>
      </c>
      <c r="G4" s="9" t="s">
        <v>18</v>
      </c>
      <c r="H4" s="6">
        <v>46263</v>
      </c>
      <c r="I4" t="s">
        <v>19</v>
      </c>
      <c r="J4" s="3">
        <v>-2</v>
      </c>
      <c r="K4" t="s">
        <v>517</v>
      </c>
      <c r="L4" t="b">
        <v>0</v>
      </c>
      <c r="M4" t="b">
        <v>1</v>
      </c>
    </row>
    <row r="5" spans="1:13" x14ac:dyDescent="0.25">
      <c r="A5" s="6">
        <v>46261</v>
      </c>
      <c r="B5" t="s">
        <v>20</v>
      </c>
      <c r="C5" s="9" t="s">
        <v>616</v>
      </c>
      <c r="D5" t="s">
        <v>21</v>
      </c>
      <c r="E5" t="s">
        <v>22</v>
      </c>
      <c r="F5" s="5">
        <v>46258</v>
      </c>
      <c r="G5" s="9" t="s">
        <v>23</v>
      </c>
      <c r="H5" s="6">
        <v>46261</v>
      </c>
      <c r="I5" t="s">
        <v>24</v>
      </c>
      <c r="J5" s="3">
        <v>0</v>
      </c>
      <c r="K5" t="s">
        <v>517</v>
      </c>
      <c r="L5" t="b">
        <v>1</v>
      </c>
      <c r="M5" t="b">
        <v>1</v>
      </c>
    </row>
    <row r="6" spans="1:13" x14ac:dyDescent="0.25">
      <c r="A6" s="6">
        <v>46261</v>
      </c>
      <c r="B6" t="s">
        <v>20</v>
      </c>
      <c r="C6" s="9" t="s">
        <v>616</v>
      </c>
      <c r="D6" t="s">
        <v>21</v>
      </c>
      <c r="E6" t="s">
        <v>25</v>
      </c>
      <c r="F6" s="5">
        <v>46258</v>
      </c>
      <c r="G6" s="9" t="s">
        <v>23</v>
      </c>
      <c r="H6" s="6">
        <v>46261</v>
      </c>
      <c r="I6" t="s">
        <v>26</v>
      </c>
      <c r="J6" s="3">
        <v>0</v>
      </c>
      <c r="K6" t="s">
        <v>517</v>
      </c>
      <c r="L6" t="b">
        <v>1</v>
      </c>
      <c r="M6" t="b">
        <v>1</v>
      </c>
    </row>
    <row r="7" spans="1:13" x14ac:dyDescent="0.25">
      <c r="A7" s="6">
        <v>46261</v>
      </c>
      <c r="B7" t="s">
        <v>27</v>
      </c>
      <c r="C7" s="9" t="s">
        <v>616</v>
      </c>
      <c r="D7" t="s">
        <v>28</v>
      </c>
      <c r="E7" t="s">
        <v>29</v>
      </c>
      <c r="F7" s="5">
        <v>46256</v>
      </c>
      <c r="G7" s="9" t="s">
        <v>9</v>
      </c>
      <c r="H7" s="6">
        <v>46262</v>
      </c>
      <c r="I7" t="s">
        <v>26</v>
      </c>
      <c r="J7" s="3">
        <v>-1</v>
      </c>
      <c r="K7" t="s">
        <v>517</v>
      </c>
      <c r="L7" t="b">
        <v>0</v>
      </c>
      <c r="M7" t="b">
        <v>1</v>
      </c>
    </row>
    <row r="8" spans="1:13" x14ac:dyDescent="0.25">
      <c r="A8" s="6">
        <v>46261</v>
      </c>
      <c r="B8" t="s">
        <v>30</v>
      </c>
      <c r="C8" s="9" t="s">
        <v>616</v>
      </c>
      <c r="D8" t="s">
        <v>31</v>
      </c>
      <c r="E8" t="s">
        <v>32</v>
      </c>
      <c r="F8" s="5">
        <v>46254</v>
      </c>
      <c r="G8" s="9" t="s">
        <v>33</v>
      </c>
      <c r="H8" s="6">
        <v>46258</v>
      </c>
      <c r="I8" t="s">
        <v>26</v>
      </c>
      <c r="J8" s="3">
        <v>3</v>
      </c>
      <c r="K8" t="s">
        <v>518</v>
      </c>
      <c r="L8" t="b">
        <v>0</v>
      </c>
      <c r="M8" t="b">
        <v>0</v>
      </c>
    </row>
    <row r="9" spans="1:13" x14ac:dyDescent="0.25">
      <c r="A9" s="6">
        <v>46261</v>
      </c>
      <c r="B9" t="s">
        <v>34</v>
      </c>
      <c r="C9" s="9" t="s">
        <v>616</v>
      </c>
      <c r="D9" t="s">
        <v>35</v>
      </c>
      <c r="E9" t="s">
        <v>36</v>
      </c>
      <c r="F9" s="5">
        <v>46253</v>
      </c>
      <c r="G9" s="9" t="s">
        <v>18</v>
      </c>
      <c r="H9" s="6">
        <v>46261</v>
      </c>
      <c r="I9" t="s">
        <v>37</v>
      </c>
      <c r="J9" s="3">
        <v>0</v>
      </c>
      <c r="K9" t="s">
        <v>517</v>
      </c>
      <c r="L9" t="b">
        <v>1</v>
      </c>
      <c r="M9" t="b">
        <v>1</v>
      </c>
    </row>
    <row r="10" spans="1:13" x14ac:dyDescent="0.25">
      <c r="A10" s="6">
        <v>46261</v>
      </c>
      <c r="B10" t="s">
        <v>38</v>
      </c>
      <c r="C10" s="9" t="s">
        <v>616</v>
      </c>
      <c r="D10" t="s">
        <v>39</v>
      </c>
      <c r="E10" t="s">
        <v>40</v>
      </c>
      <c r="F10" s="5">
        <v>46252</v>
      </c>
      <c r="G10" s="9" t="s">
        <v>23</v>
      </c>
      <c r="H10" s="6">
        <v>46256</v>
      </c>
      <c r="I10" t="s">
        <v>10</v>
      </c>
      <c r="J10" s="3">
        <v>5</v>
      </c>
      <c r="K10" t="s">
        <v>518</v>
      </c>
      <c r="L10" t="b">
        <v>0</v>
      </c>
      <c r="M10" t="b">
        <v>0</v>
      </c>
    </row>
    <row r="11" spans="1:13" x14ac:dyDescent="0.25">
      <c r="A11" s="6">
        <v>46261</v>
      </c>
      <c r="B11" t="s">
        <v>38</v>
      </c>
      <c r="C11" s="9" t="s">
        <v>616</v>
      </c>
      <c r="D11" t="s">
        <v>39</v>
      </c>
      <c r="E11" t="s">
        <v>41</v>
      </c>
      <c r="F11" s="5">
        <v>46252</v>
      </c>
      <c r="G11" s="9" t="s">
        <v>9</v>
      </c>
      <c r="H11" s="6">
        <v>46261</v>
      </c>
      <c r="I11" t="s">
        <v>19</v>
      </c>
      <c r="J11" s="3">
        <v>0</v>
      </c>
      <c r="K11" t="s">
        <v>517</v>
      </c>
      <c r="L11" t="b">
        <v>1</v>
      </c>
      <c r="M11" t="b">
        <v>1</v>
      </c>
    </row>
    <row r="12" spans="1:13" x14ac:dyDescent="0.25">
      <c r="A12" s="6">
        <v>46261</v>
      </c>
      <c r="B12" t="s">
        <v>42</v>
      </c>
      <c r="C12" s="9" t="s">
        <v>616</v>
      </c>
      <c r="D12" t="s">
        <v>43</v>
      </c>
      <c r="E12" t="s">
        <v>44</v>
      </c>
      <c r="F12" s="5">
        <v>46248</v>
      </c>
      <c r="G12" s="9" t="s">
        <v>9</v>
      </c>
      <c r="H12" s="6">
        <v>46256</v>
      </c>
      <c r="I12" t="s">
        <v>37</v>
      </c>
      <c r="J12" s="3">
        <v>5</v>
      </c>
      <c r="K12" t="s">
        <v>518</v>
      </c>
      <c r="L12" t="b">
        <v>0</v>
      </c>
      <c r="M12" t="b">
        <v>0</v>
      </c>
    </row>
    <row r="13" spans="1:13" x14ac:dyDescent="0.25">
      <c r="A13" s="6">
        <v>46261</v>
      </c>
      <c r="B13" t="s">
        <v>42</v>
      </c>
      <c r="C13" s="9" t="s">
        <v>616</v>
      </c>
      <c r="D13" t="s">
        <v>45</v>
      </c>
      <c r="E13" t="s">
        <v>46</v>
      </c>
      <c r="F13" s="5">
        <v>46248</v>
      </c>
      <c r="G13" s="9" t="s">
        <v>13</v>
      </c>
      <c r="H13" s="6">
        <v>46256</v>
      </c>
      <c r="I13" t="s">
        <v>10</v>
      </c>
      <c r="J13" s="3">
        <v>5</v>
      </c>
      <c r="K13" t="s">
        <v>518</v>
      </c>
      <c r="L13" t="b">
        <v>0</v>
      </c>
      <c r="M13" t="b">
        <v>0</v>
      </c>
    </row>
    <row r="14" spans="1:13" x14ac:dyDescent="0.25">
      <c r="A14" s="6">
        <v>46261</v>
      </c>
      <c r="B14" t="s">
        <v>47</v>
      </c>
      <c r="C14" s="9" t="s">
        <v>616</v>
      </c>
      <c r="D14" t="s">
        <v>48</v>
      </c>
      <c r="E14" t="s">
        <v>17</v>
      </c>
      <c r="F14" s="5">
        <v>46239</v>
      </c>
      <c r="G14" s="9" t="s">
        <v>13</v>
      </c>
      <c r="H14" s="6">
        <v>46243</v>
      </c>
      <c r="I14" t="s">
        <v>14</v>
      </c>
      <c r="J14" s="3">
        <v>18</v>
      </c>
      <c r="K14" t="s">
        <v>518</v>
      </c>
      <c r="L14" t="b">
        <v>0</v>
      </c>
      <c r="M14" t="b">
        <v>0</v>
      </c>
    </row>
  </sheetData>
  <phoneticPr fontId="1" type="noConversion"/>
  <conditionalFormatting sqref="I15:M1048576 J2:J14">
    <cfRule type="cellIs" dxfId="12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FE5A-4963-46E0-A541-D32B53113D5A}">
  <dimension ref="A1:O114"/>
  <sheetViews>
    <sheetView showGridLines="0" zoomScale="55" zoomScaleNormal="55" workbookViewId="0">
      <selection activeCell="G20" sqref="G20"/>
    </sheetView>
  </sheetViews>
  <sheetFormatPr defaultRowHeight="15" x14ac:dyDescent="0.25"/>
  <cols>
    <col min="1" max="1" width="18.140625" customWidth="1"/>
    <col min="2" max="2" width="13" bestFit="1" customWidth="1"/>
    <col min="3" max="3" width="16" bestFit="1" customWidth="1"/>
    <col min="5" max="5" width="16.7109375" bestFit="1" customWidth="1"/>
    <col min="6" max="6" width="13" bestFit="1" customWidth="1"/>
    <col min="7" max="7" width="16" bestFit="1" customWidth="1"/>
    <col min="9" max="9" width="16.7109375" bestFit="1" customWidth="1"/>
    <col min="10" max="10" width="13" bestFit="1" customWidth="1"/>
    <col min="11" max="11" width="16" bestFit="1" customWidth="1"/>
    <col min="13" max="13" width="16.7109375" bestFit="1" customWidth="1"/>
    <col min="14" max="14" width="13" bestFit="1" customWidth="1"/>
    <col min="15" max="15" width="16" bestFit="1" customWidth="1"/>
  </cols>
  <sheetData>
    <row r="1" spans="1:15" x14ac:dyDescent="0.25">
      <c r="A1" s="7" t="s">
        <v>610</v>
      </c>
      <c r="B1" s="7"/>
      <c r="C1" s="7"/>
      <c r="E1" s="8" t="s">
        <v>611</v>
      </c>
      <c r="F1" s="8"/>
      <c r="G1" s="8"/>
      <c r="I1" s="8" t="s">
        <v>612</v>
      </c>
      <c r="J1" s="8"/>
      <c r="K1" s="8"/>
      <c r="M1" s="8" t="s">
        <v>613</v>
      </c>
      <c r="N1" s="8"/>
      <c r="O1" s="8"/>
    </row>
    <row r="2" spans="1:15" x14ac:dyDescent="0.25">
      <c r="A2" s="5" t="s">
        <v>520</v>
      </c>
      <c r="B2" s="3" t="s">
        <v>608</v>
      </c>
      <c r="C2" s="3" t="s">
        <v>609</v>
      </c>
      <c r="E2" s="5" t="s">
        <v>520</v>
      </c>
      <c r="F2" s="3" t="s">
        <v>608</v>
      </c>
      <c r="G2" s="3" t="s">
        <v>609</v>
      </c>
      <c r="I2" s="5" t="s">
        <v>520</v>
      </c>
      <c r="J2" s="3" t="s">
        <v>608</v>
      </c>
      <c r="K2" s="3" t="s">
        <v>609</v>
      </c>
      <c r="M2" s="5" t="s">
        <v>520</v>
      </c>
      <c r="N2" s="3" t="s">
        <v>608</v>
      </c>
      <c r="O2" s="3" t="s">
        <v>609</v>
      </c>
    </row>
    <row r="3" spans="1:15" x14ac:dyDescent="0.25">
      <c r="A3" s="5">
        <v>46261</v>
      </c>
      <c r="B3" s="3">
        <v>95</v>
      </c>
      <c r="C3" s="3">
        <v>47</v>
      </c>
      <c r="E3" s="5">
        <v>46255</v>
      </c>
      <c r="F3" s="3">
        <v>38</v>
      </c>
      <c r="G3" s="3">
        <v>32</v>
      </c>
      <c r="I3" s="5">
        <v>46255</v>
      </c>
      <c r="J3" s="3">
        <v>9</v>
      </c>
      <c r="K3" s="3">
        <v>1</v>
      </c>
      <c r="M3" s="5">
        <v>46255</v>
      </c>
      <c r="N3" s="3">
        <v>14</v>
      </c>
      <c r="O3" s="3">
        <v>6</v>
      </c>
    </row>
    <row r="4" spans="1:15" x14ac:dyDescent="0.25">
      <c r="A4" s="5">
        <v>46266</v>
      </c>
      <c r="B4" s="3">
        <v>95</v>
      </c>
      <c r="C4" s="3">
        <v>58</v>
      </c>
      <c r="E4" s="5">
        <v>46261</v>
      </c>
      <c r="F4" s="3">
        <v>39</v>
      </c>
      <c r="G4" s="3">
        <v>30</v>
      </c>
      <c r="I4" s="5">
        <v>46261</v>
      </c>
      <c r="J4" s="3">
        <v>13</v>
      </c>
      <c r="K4" s="3">
        <v>5</v>
      </c>
      <c r="M4" s="5">
        <v>46261</v>
      </c>
      <c r="N4" s="3">
        <v>14</v>
      </c>
      <c r="O4" s="3">
        <v>6</v>
      </c>
    </row>
    <row r="5" spans="1:15" x14ac:dyDescent="0.25">
      <c r="A5" s="5">
        <v>46267</v>
      </c>
      <c r="B5" s="3">
        <v>95</v>
      </c>
      <c r="C5" s="3">
        <v>58</v>
      </c>
      <c r="E5" s="5">
        <v>46266</v>
      </c>
      <c r="F5" s="3">
        <v>39</v>
      </c>
      <c r="G5" s="3">
        <v>35</v>
      </c>
      <c r="I5" s="5"/>
      <c r="J5" s="3"/>
      <c r="K5" s="3"/>
      <c r="M5" s="5">
        <v>46266</v>
      </c>
      <c r="N5" s="3">
        <v>14</v>
      </c>
      <c r="O5" s="3">
        <v>10</v>
      </c>
    </row>
    <row r="6" spans="1:15" x14ac:dyDescent="0.25">
      <c r="A6" s="5"/>
      <c r="B6" s="3"/>
      <c r="C6" s="3"/>
      <c r="E6" s="5">
        <v>46267</v>
      </c>
      <c r="F6" s="3">
        <v>39</v>
      </c>
      <c r="G6" s="3">
        <v>35</v>
      </c>
      <c r="I6" s="5"/>
      <c r="J6" s="3"/>
      <c r="K6" s="3"/>
      <c r="M6" s="5">
        <v>46267</v>
      </c>
      <c r="N6" s="3">
        <v>14</v>
      </c>
      <c r="O6" s="3">
        <v>11</v>
      </c>
    </row>
    <row r="7" spans="1:15" x14ac:dyDescent="0.25">
      <c r="A7" s="5"/>
      <c r="B7" s="3"/>
      <c r="C7" s="3"/>
      <c r="E7" s="5"/>
      <c r="F7" s="3"/>
      <c r="G7" s="3"/>
      <c r="I7" s="5"/>
      <c r="J7" s="3"/>
      <c r="K7" s="3"/>
      <c r="M7" s="5"/>
      <c r="N7" s="3"/>
      <c r="O7" s="3"/>
    </row>
    <row r="8" spans="1:15" x14ac:dyDescent="0.25">
      <c r="A8" s="5"/>
      <c r="B8" s="3"/>
      <c r="C8" s="3"/>
      <c r="E8" s="5"/>
      <c r="F8" s="3"/>
      <c r="G8" s="3"/>
      <c r="I8" s="5"/>
      <c r="J8" s="3"/>
      <c r="K8" s="3"/>
      <c r="M8" s="5"/>
      <c r="N8" s="3"/>
      <c r="O8" s="3"/>
    </row>
    <row r="9" spans="1:15" x14ac:dyDescent="0.25">
      <c r="A9" s="5"/>
      <c r="B9" s="3"/>
      <c r="C9" s="3"/>
      <c r="E9" s="5"/>
      <c r="F9" s="3"/>
      <c r="G9" s="3"/>
      <c r="I9" s="5"/>
      <c r="J9" s="3"/>
      <c r="K9" s="3"/>
      <c r="M9" s="5"/>
      <c r="N9" s="3"/>
      <c r="O9" s="3"/>
    </row>
    <row r="10" spans="1:15" x14ac:dyDescent="0.25">
      <c r="A10" s="5"/>
      <c r="B10" s="3"/>
      <c r="C10" s="3"/>
      <c r="E10" s="5"/>
      <c r="F10" s="3"/>
      <c r="G10" s="3"/>
      <c r="I10" s="5"/>
      <c r="J10" s="3"/>
      <c r="K10" s="3"/>
      <c r="M10" s="5"/>
      <c r="N10" s="3"/>
      <c r="O10" s="3"/>
    </row>
    <row r="11" spans="1:15" x14ac:dyDescent="0.25">
      <c r="A11" s="5"/>
      <c r="B11" s="3"/>
      <c r="C11" s="3"/>
      <c r="E11" s="5"/>
      <c r="F11" s="3"/>
      <c r="G11" s="3"/>
      <c r="I11" s="5"/>
      <c r="J11" s="3"/>
      <c r="K11" s="3"/>
      <c r="M11" s="5"/>
      <c r="N11" s="3"/>
      <c r="O11" s="3"/>
    </row>
    <row r="12" spans="1:15" x14ac:dyDescent="0.25">
      <c r="A12" s="5"/>
      <c r="B12" s="3"/>
      <c r="C12" s="3"/>
      <c r="E12" s="5"/>
      <c r="F12" s="3"/>
      <c r="G12" s="3"/>
      <c r="I12" s="5"/>
      <c r="J12" s="3"/>
      <c r="K12" s="3"/>
      <c r="M12" s="5"/>
      <c r="N12" s="3"/>
      <c r="O12" s="3"/>
    </row>
    <row r="13" spans="1:15" x14ac:dyDescent="0.25">
      <c r="A13" s="5"/>
      <c r="B13" s="3"/>
      <c r="C13" s="3"/>
      <c r="E13" s="5"/>
      <c r="F13" s="3"/>
      <c r="G13" s="3"/>
      <c r="I13" s="5"/>
      <c r="J13" s="3"/>
      <c r="K13" s="3"/>
      <c r="M13" s="5"/>
      <c r="N13" s="3"/>
      <c r="O13" s="3"/>
    </row>
    <row r="14" spans="1:15" x14ac:dyDescent="0.25">
      <c r="A14" s="5"/>
      <c r="B14" s="3"/>
      <c r="C14" s="3"/>
      <c r="E14" s="5"/>
      <c r="F14" s="3"/>
      <c r="G14" s="3"/>
      <c r="I14" s="5"/>
      <c r="J14" s="3"/>
      <c r="K14" s="3"/>
      <c r="M14" s="5"/>
      <c r="N14" s="3"/>
      <c r="O14" s="3"/>
    </row>
    <row r="15" spans="1:15" x14ac:dyDescent="0.25">
      <c r="A15" s="5"/>
      <c r="B15" s="3"/>
      <c r="C15" s="3"/>
      <c r="E15" s="5"/>
      <c r="F15" s="3"/>
      <c r="G15" s="3"/>
      <c r="I15" s="5"/>
      <c r="J15" s="3"/>
      <c r="K15" s="3"/>
      <c r="M15" s="5"/>
      <c r="N15" s="3"/>
      <c r="O15" s="3"/>
    </row>
    <row r="16" spans="1:15" x14ac:dyDescent="0.25">
      <c r="A16" s="5"/>
      <c r="B16" s="3"/>
      <c r="C16" s="3"/>
      <c r="E16" s="5"/>
      <c r="F16" s="3"/>
      <c r="G16" s="3"/>
      <c r="I16" s="5"/>
      <c r="J16" s="3"/>
      <c r="K16" s="3"/>
      <c r="M16" s="5"/>
      <c r="N16" s="3"/>
      <c r="O16" s="3"/>
    </row>
    <row r="17" spans="1:15" x14ac:dyDescent="0.25">
      <c r="A17" s="5"/>
      <c r="B17" s="3"/>
      <c r="C17" s="3"/>
      <c r="E17" s="5"/>
      <c r="F17" s="3"/>
      <c r="G17" s="3"/>
      <c r="I17" s="5"/>
      <c r="J17" s="3"/>
      <c r="K17" s="3"/>
      <c r="M17" s="5"/>
      <c r="N17" s="3"/>
      <c r="O17" s="3"/>
    </row>
    <row r="18" spans="1:15" x14ac:dyDescent="0.25">
      <c r="A18" s="5"/>
      <c r="B18" s="3"/>
      <c r="C18" s="3"/>
      <c r="E18" s="5"/>
      <c r="F18" s="3"/>
      <c r="G18" s="3"/>
      <c r="I18" s="5"/>
      <c r="J18" s="3"/>
      <c r="K18" s="3"/>
      <c r="M18" s="5"/>
      <c r="N18" s="3"/>
      <c r="O18" s="3"/>
    </row>
    <row r="19" spans="1:15" x14ac:dyDescent="0.25">
      <c r="A19" s="5"/>
      <c r="B19" s="3"/>
      <c r="C19" s="3"/>
      <c r="E19" s="5"/>
      <c r="F19" s="3"/>
      <c r="G19" s="3"/>
      <c r="I19" s="5"/>
      <c r="J19" s="3"/>
      <c r="K19" s="3"/>
      <c r="M19" s="5"/>
      <c r="N19" s="3"/>
      <c r="O19" s="3"/>
    </row>
    <row r="20" spans="1:15" x14ac:dyDescent="0.25">
      <c r="A20" s="5"/>
      <c r="B20" s="3"/>
      <c r="C20" s="3"/>
      <c r="E20" s="5"/>
      <c r="F20" s="3"/>
      <c r="G20" s="3"/>
      <c r="I20" s="5"/>
      <c r="J20" s="3"/>
      <c r="K20" s="3"/>
      <c r="M20" s="5"/>
      <c r="N20" s="3"/>
      <c r="O20" s="3"/>
    </row>
    <row r="21" spans="1:15" x14ac:dyDescent="0.25">
      <c r="A21" s="5"/>
      <c r="B21" s="3"/>
      <c r="C21" s="3"/>
      <c r="E21" s="5"/>
      <c r="F21" s="3"/>
      <c r="G21" s="3"/>
    </row>
    <row r="111" spans="1:1" x14ac:dyDescent="0.25">
      <c r="A111" t="str">
        <f>"CAPA Open vs Past Due Trend - "&amp;TEXT(MAX(CAPA_Trend_Summary[Snap Shot Date]),"dd-mmm-yyyy")</f>
        <v>CAPA Open vs Past Due Trend - 02-Sep-2026</v>
      </c>
    </row>
    <row r="112" spans="1:1" x14ac:dyDescent="0.25">
      <c r="A112" t="str">
        <f>"Deviation Open vs Past Due Trend - "&amp;TEXT(MAX(Deviation_Trend_Summary[Snap Shot Date]),"dd-mmm-yyyy")</f>
        <v>Deviation Open vs Past Due Trend - 02-Sep-2026</v>
      </c>
    </row>
    <row r="113" spans="1:1" x14ac:dyDescent="0.25">
      <c r="A113" t="str">
        <f>"Event Open vs Past Due Trend - "&amp;TEXT(MAX(Event_Trend_Summary[Snap Shot Date]),"dd-mmm-yyyy")</f>
        <v>Event Open vs Past Due Trend - 27-Aug-2026</v>
      </c>
    </row>
    <row r="114" spans="1:1" x14ac:dyDescent="0.25">
      <c r="A114" t="str">
        <f>"OOS Open vs Past Due Trend - "&amp;TEXT(MAX(OOS_Trend_Summary[Snap Shot Date]),"dd-mmm-yyyy")</f>
        <v>OOS Open vs Past Due Trend - 02-Sep-2026</v>
      </c>
    </row>
  </sheetData>
  <mergeCells count="4">
    <mergeCell ref="A1:C1"/>
    <mergeCell ref="E1:G1"/>
    <mergeCell ref="I1:K1"/>
    <mergeCell ref="M1:O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E9F9-802A-405C-8060-1277EBE411F3}">
  <dimension ref="A1"/>
  <sheetViews>
    <sheetView showGridLines="0" tabSelected="1" zoomScale="85" zoomScaleNormal="85" workbookViewId="0">
      <selection activeCell="Y28" sqref="Y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43ED-4900-4E30-8C7D-5BEAFBEC655A}">
  <dimension ref="A1:E27"/>
  <sheetViews>
    <sheetView workbookViewId="0">
      <selection activeCell="C37" sqref="C37"/>
    </sheetView>
  </sheetViews>
  <sheetFormatPr defaultRowHeight="15" x14ac:dyDescent="0.25"/>
  <cols>
    <col min="1" max="1" width="14.5703125" bestFit="1" customWidth="1"/>
    <col min="2" max="2" width="15.7109375" customWidth="1"/>
    <col min="3" max="3" width="29.42578125" bestFit="1" customWidth="1"/>
    <col min="4" max="4" width="24.5703125" customWidth="1"/>
    <col min="5" max="5" width="20.28515625" bestFit="1" customWidth="1"/>
  </cols>
  <sheetData>
    <row r="1" spans="1:5" x14ac:dyDescent="0.25">
      <c r="A1" t="s">
        <v>51</v>
      </c>
      <c r="B1" t="s">
        <v>52</v>
      </c>
      <c r="C1" t="s">
        <v>1</v>
      </c>
      <c r="D1" t="s">
        <v>55</v>
      </c>
      <c r="E1" t="s">
        <v>5</v>
      </c>
    </row>
    <row r="2" spans="1:5" x14ac:dyDescent="0.25">
      <c r="A2" t="s">
        <v>492</v>
      </c>
      <c r="B2" t="s">
        <v>223</v>
      </c>
      <c r="C2" t="s">
        <v>74</v>
      </c>
      <c r="D2" t="s">
        <v>70</v>
      </c>
      <c r="E2" t="s">
        <v>505</v>
      </c>
    </row>
    <row r="3" spans="1:5" x14ac:dyDescent="0.25">
      <c r="A3" t="s">
        <v>465</v>
      </c>
      <c r="B3" t="s">
        <v>231</v>
      </c>
      <c r="C3" t="s">
        <v>471</v>
      </c>
      <c r="D3" t="s">
        <v>70</v>
      </c>
      <c r="E3" t="s">
        <v>477</v>
      </c>
    </row>
    <row r="4" spans="1:5" x14ac:dyDescent="0.25">
      <c r="A4" t="s">
        <v>464</v>
      </c>
      <c r="B4" t="s">
        <v>240</v>
      </c>
      <c r="C4" t="s">
        <v>106</v>
      </c>
      <c r="D4" t="s">
        <v>94</v>
      </c>
      <c r="E4" t="s">
        <v>464</v>
      </c>
    </row>
    <row r="5" spans="1:5" x14ac:dyDescent="0.25">
      <c r="A5" t="s">
        <v>466</v>
      </c>
      <c r="B5" t="s">
        <v>244</v>
      </c>
      <c r="C5" t="s">
        <v>472</v>
      </c>
      <c r="D5" t="s">
        <v>70</v>
      </c>
      <c r="E5" t="s">
        <v>478</v>
      </c>
    </row>
    <row r="6" spans="1:5" x14ac:dyDescent="0.25">
      <c r="A6" t="s">
        <v>467</v>
      </c>
      <c r="B6" t="s">
        <v>250</v>
      </c>
      <c r="C6" t="s">
        <v>473</v>
      </c>
      <c r="D6" t="s">
        <v>70</v>
      </c>
      <c r="E6" t="s">
        <v>479</v>
      </c>
    </row>
    <row r="7" spans="1:5" x14ac:dyDescent="0.25">
      <c r="A7" t="s">
        <v>468</v>
      </c>
      <c r="B7" t="s">
        <v>251</v>
      </c>
      <c r="C7" t="s">
        <v>474</v>
      </c>
      <c r="D7" t="s">
        <v>70</v>
      </c>
      <c r="E7" t="s">
        <v>480</v>
      </c>
    </row>
    <row r="8" spans="1:5" x14ac:dyDescent="0.25">
      <c r="A8" t="s">
        <v>493</v>
      </c>
      <c r="B8" t="s">
        <v>252</v>
      </c>
      <c r="C8" t="s">
        <v>83</v>
      </c>
      <c r="D8" t="s">
        <v>70</v>
      </c>
      <c r="E8" t="s">
        <v>504</v>
      </c>
    </row>
    <row r="9" spans="1:5" x14ac:dyDescent="0.25">
      <c r="A9" t="s">
        <v>464</v>
      </c>
      <c r="B9" t="s">
        <v>261</v>
      </c>
      <c r="C9" t="s">
        <v>100</v>
      </c>
      <c r="D9" t="s">
        <v>94</v>
      </c>
      <c r="E9" t="s">
        <v>464</v>
      </c>
    </row>
    <row r="10" spans="1:5" x14ac:dyDescent="0.25">
      <c r="A10" t="s">
        <v>469</v>
      </c>
      <c r="B10" t="s">
        <v>272</v>
      </c>
      <c r="C10" t="s">
        <v>475</v>
      </c>
      <c r="D10" t="s">
        <v>70</v>
      </c>
      <c r="E10" t="s">
        <v>481</v>
      </c>
    </row>
    <row r="11" spans="1:5" x14ac:dyDescent="0.25">
      <c r="A11" t="s">
        <v>464</v>
      </c>
      <c r="B11" t="s">
        <v>273</v>
      </c>
      <c r="C11" t="s">
        <v>153</v>
      </c>
      <c r="D11" t="s">
        <v>94</v>
      </c>
      <c r="E11" t="s">
        <v>464</v>
      </c>
    </row>
    <row r="12" spans="1:5" x14ac:dyDescent="0.25">
      <c r="A12" t="s">
        <v>470</v>
      </c>
      <c r="B12" t="s">
        <v>274</v>
      </c>
      <c r="C12" t="s">
        <v>476</v>
      </c>
      <c r="D12" t="s">
        <v>70</v>
      </c>
      <c r="E12" t="s">
        <v>482</v>
      </c>
    </row>
    <row r="13" spans="1:5" x14ac:dyDescent="0.25">
      <c r="A13" t="s">
        <v>464</v>
      </c>
      <c r="B13" t="s">
        <v>275</v>
      </c>
      <c r="C13" t="s">
        <v>107</v>
      </c>
      <c r="D13" t="s">
        <v>94</v>
      </c>
      <c r="E13" t="s">
        <v>464</v>
      </c>
    </row>
    <row r="14" spans="1:5" x14ac:dyDescent="0.25">
      <c r="A14" t="s">
        <v>464</v>
      </c>
      <c r="B14" t="s">
        <v>276</v>
      </c>
      <c r="C14" t="s">
        <v>153</v>
      </c>
      <c r="D14" t="s">
        <v>94</v>
      </c>
      <c r="E14" t="s">
        <v>464</v>
      </c>
    </row>
    <row r="15" spans="1:5" x14ac:dyDescent="0.25">
      <c r="A15" t="s">
        <v>464</v>
      </c>
      <c r="B15" t="s">
        <v>277</v>
      </c>
      <c r="C15" t="s">
        <v>100</v>
      </c>
      <c r="D15" t="s">
        <v>94</v>
      </c>
      <c r="E15" t="s">
        <v>464</v>
      </c>
    </row>
    <row r="16" spans="1:5" x14ac:dyDescent="0.25">
      <c r="A16" t="s">
        <v>464</v>
      </c>
      <c r="B16" t="s">
        <v>278</v>
      </c>
      <c r="C16" t="s">
        <v>153</v>
      </c>
      <c r="D16" t="s">
        <v>94</v>
      </c>
      <c r="E16" t="s">
        <v>464</v>
      </c>
    </row>
    <row r="17" spans="1:5" x14ac:dyDescent="0.25">
      <c r="A17" t="s">
        <v>464</v>
      </c>
      <c r="B17" t="s">
        <v>279</v>
      </c>
      <c r="C17" t="s">
        <v>153</v>
      </c>
      <c r="D17" t="s">
        <v>94</v>
      </c>
      <c r="E17" t="s">
        <v>464</v>
      </c>
    </row>
    <row r="18" spans="1:5" x14ac:dyDescent="0.25">
      <c r="A18" t="s">
        <v>494</v>
      </c>
      <c r="B18" t="s">
        <v>323</v>
      </c>
      <c r="C18" t="s">
        <v>74</v>
      </c>
      <c r="D18" t="s">
        <v>70</v>
      </c>
      <c r="E18" t="s">
        <v>506</v>
      </c>
    </row>
    <row r="19" spans="1:5" x14ac:dyDescent="0.25">
      <c r="A19" t="s">
        <v>495</v>
      </c>
      <c r="B19" t="s">
        <v>222</v>
      </c>
      <c r="C19" t="s">
        <v>483</v>
      </c>
      <c r="D19" t="s">
        <v>70</v>
      </c>
      <c r="E19" t="s">
        <v>71</v>
      </c>
    </row>
    <row r="20" spans="1:5" x14ac:dyDescent="0.25">
      <c r="A20" t="s">
        <v>496</v>
      </c>
      <c r="B20" t="s">
        <v>228</v>
      </c>
      <c r="C20" t="s">
        <v>484</v>
      </c>
      <c r="D20" t="s">
        <v>70</v>
      </c>
      <c r="E20" t="s">
        <v>507</v>
      </c>
    </row>
    <row r="21" spans="1:5" x14ac:dyDescent="0.25">
      <c r="A21" t="s">
        <v>497</v>
      </c>
      <c r="B21" t="s">
        <v>293</v>
      </c>
      <c r="C21" t="s">
        <v>485</v>
      </c>
      <c r="D21" t="s">
        <v>70</v>
      </c>
      <c r="E21" t="s">
        <v>508</v>
      </c>
    </row>
    <row r="22" spans="1:5" x14ac:dyDescent="0.25">
      <c r="A22" t="s">
        <v>498</v>
      </c>
      <c r="B22" t="s">
        <v>300</v>
      </c>
      <c r="C22" t="s">
        <v>486</v>
      </c>
      <c r="D22" t="s">
        <v>70</v>
      </c>
      <c r="E22" t="s">
        <v>509</v>
      </c>
    </row>
    <row r="23" spans="1:5" x14ac:dyDescent="0.25">
      <c r="A23" t="s">
        <v>499</v>
      </c>
      <c r="B23" t="s">
        <v>302</v>
      </c>
      <c r="C23" t="s">
        <v>487</v>
      </c>
      <c r="D23" t="s">
        <v>70</v>
      </c>
      <c r="E23" t="s">
        <v>510</v>
      </c>
    </row>
    <row r="24" spans="1:5" x14ac:dyDescent="0.25">
      <c r="A24" t="s">
        <v>500</v>
      </c>
      <c r="B24" t="s">
        <v>304</v>
      </c>
      <c r="C24" t="s">
        <v>488</v>
      </c>
      <c r="D24" t="s">
        <v>70</v>
      </c>
      <c r="E24" t="s">
        <v>511</v>
      </c>
    </row>
    <row r="25" spans="1:5" x14ac:dyDescent="0.25">
      <c r="A25" t="s">
        <v>501</v>
      </c>
      <c r="B25" t="s">
        <v>305</v>
      </c>
      <c r="C25" t="s">
        <v>489</v>
      </c>
      <c r="D25" t="s">
        <v>70</v>
      </c>
      <c r="E25" t="s">
        <v>512</v>
      </c>
    </row>
    <row r="26" spans="1:5" x14ac:dyDescent="0.25">
      <c r="A26" t="s">
        <v>502</v>
      </c>
      <c r="B26" t="s">
        <v>314</v>
      </c>
      <c r="C26" t="s">
        <v>490</v>
      </c>
      <c r="D26" t="s">
        <v>70</v>
      </c>
      <c r="E26" t="s">
        <v>513</v>
      </c>
    </row>
    <row r="27" spans="1:5" x14ac:dyDescent="0.25">
      <c r="A27" t="s">
        <v>503</v>
      </c>
      <c r="B27" t="s">
        <v>322</v>
      </c>
      <c r="C27" t="s">
        <v>491</v>
      </c>
      <c r="D27" t="s">
        <v>70</v>
      </c>
      <c r="E27" t="s">
        <v>514</v>
      </c>
    </row>
  </sheetData>
  <phoneticPr fontId="1" type="noConversion"/>
  <conditionalFormatting sqref="B1:B1048576 B33:E47">
    <cfRule type="duplicateValues" dxfId="11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1A7C-EE83-4343-9CB1-DCE3036D1141}">
  <dimension ref="A1:C3"/>
  <sheetViews>
    <sheetView workbookViewId="0"/>
  </sheetViews>
  <sheetFormatPr defaultRowHeight="15" x14ac:dyDescent="0.25"/>
  <cols>
    <col min="1" max="1" width="19.42578125" customWidth="1"/>
    <col min="2" max="2" width="19.5703125" bestFit="1" customWidth="1"/>
    <col min="3" max="3" width="14.42578125" bestFit="1" customWidth="1"/>
  </cols>
  <sheetData>
    <row r="1" spans="1:3" x14ac:dyDescent="0.25">
      <c r="A1" t="s">
        <v>325</v>
      </c>
      <c r="B1" t="s">
        <v>326</v>
      </c>
      <c r="C1" t="s">
        <v>5</v>
      </c>
    </row>
    <row r="2" spans="1:3" x14ac:dyDescent="0.25">
      <c r="A2" t="s">
        <v>348</v>
      </c>
      <c r="B2" t="s">
        <v>70</v>
      </c>
      <c r="C2" t="s">
        <v>519</v>
      </c>
    </row>
    <row r="3" spans="1:3" x14ac:dyDescent="0.25">
      <c r="A3" t="s">
        <v>371</v>
      </c>
      <c r="B3" t="s">
        <v>70</v>
      </c>
      <c r="C3" t="s">
        <v>519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6F3273-DE36-4AFF-84AD-F9360F1FD6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Deviation</vt:lpstr>
      <vt:lpstr>OOS</vt:lpstr>
      <vt:lpstr>Event</vt:lpstr>
      <vt:lpstr>Summary</vt:lpstr>
      <vt:lpstr>Quality Trends Dashboard</vt:lpstr>
      <vt:lpstr>CAPA Override Table</vt:lpstr>
      <vt:lpstr>Deviation Override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Khan</dc:creator>
  <cp:lastModifiedBy>Mohammad Khan</cp:lastModifiedBy>
  <dcterms:created xsi:type="dcterms:W3CDTF">2015-06-05T18:17:20Z</dcterms:created>
  <dcterms:modified xsi:type="dcterms:W3CDTF">2026-09-03T17:43:10Z</dcterms:modified>
</cp:coreProperties>
</file>